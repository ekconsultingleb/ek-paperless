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ekconsultingco-my.sharepoint.com/personal/elie_k_ekconsulting_co/Documents/EK Consulting Form/"/>
    </mc:Choice>
  </mc:AlternateContent>
  <xr:revisionPtr revIDLastSave="2" documentId="13_ncr:1_{868BBE3A-7584-48E5-A686-712E3E85F087}" xr6:coauthVersionLast="47" xr6:coauthVersionMax="47" xr10:uidLastSave="{B73BB638-EBCD-4881-8866-16CC4CA54108}"/>
  <bookViews>
    <workbookView xWindow="-108" yWindow="-108" windowWidth="23256" windowHeight="12456" tabRatio="950" xr2:uid="{00000000-000D-0000-FFFF-FFFF00000000}"/>
  </bookViews>
  <sheets>
    <sheet name="1" sheetId="1" r:id="rId1"/>
    <sheet name="2" sheetId="33" r:id="rId2"/>
    <sheet name="3" sheetId="34" r:id="rId3"/>
  </sheets>
  <definedNames>
    <definedName name="Days" localSheetId="1">'2'!$J$13:$J$18</definedName>
    <definedName name="Days" localSheetId="2">'3'!$J$13:$J$18</definedName>
    <definedName name="Days">'1'!$J$13:$J$18</definedName>
    <definedName name="Months" localSheetId="1">'2'!$I$13:$I$24</definedName>
    <definedName name="Months" localSheetId="2">'3'!$I$13:$I$24</definedName>
    <definedName name="Months">'1'!$I$13:$I$24</definedName>
    <definedName name="_xlnm.Print_Area" localSheetId="0">'1'!$A$4:$H$60</definedName>
    <definedName name="_xlnm.Print_Area" localSheetId="1">'2'!$A$4:$H$60</definedName>
    <definedName name="_xlnm.Print_Area" localSheetId="2">'3'!$A$4:$H$60</definedName>
    <definedName name="SalesTable" localSheetId="1">'2'!$B$13:$C$17</definedName>
    <definedName name="SalesTable" localSheetId="2">'3'!$B$13:$C$17</definedName>
    <definedName name="SalesTable">'1'!$B$13:$C$17</definedName>
    <definedName name="Z_91FC1D6D_2858_4BF4_8492_636C26784E78_.wvu.Cols" localSheetId="0" hidden="1">'1'!$I:$J</definedName>
    <definedName name="Z_91FC1D6D_2858_4BF4_8492_636C26784E78_.wvu.Cols" localSheetId="1" hidden="1">'2'!$I:$J</definedName>
    <definedName name="Z_91FC1D6D_2858_4BF4_8492_636C26784E78_.wvu.Cols" localSheetId="2" hidden="1">'3'!$I:$J</definedName>
    <definedName name="Z_91FC1D6D_2858_4BF4_8492_636C26784E78_.wvu.PrintArea" localSheetId="0" hidden="1">'1'!$A$4:$H$60</definedName>
    <definedName name="Z_91FC1D6D_2858_4BF4_8492_636C26784E78_.wvu.PrintArea" localSheetId="1" hidden="1">'2'!$A$4:$H$60</definedName>
    <definedName name="Z_91FC1D6D_2858_4BF4_8492_636C26784E78_.wvu.PrintArea" localSheetId="2" hidden="1">'3'!$A$4:$H$60</definedName>
  </definedNames>
  <calcPr calcId="191029" concurrentCalc="0"/>
  <customWorkbookViews>
    <customWorkbookView name="Elie Khoury - Personal View" guid="{91FC1D6D-2858-4BF4-8492-636C26784E78}" mergeInterval="0" personalView="1" maximized="1" xWindow="-8" yWindow="-8" windowWidth="1382" windowHeight="744" tabRatio="950" activeSheetId="1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8" i="1" l="1"/>
  <c r="G3" i="1"/>
  <c r="G3" i="33"/>
  <c r="G3" i="34"/>
  <c r="D48" i="34"/>
  <c r="E48" i="34"/>
  <c r="D47" i="34"/>
  <c r="E47" i="34"/>
  <c r="D46" i="34"/>
  <c r="E46" i="34"/>
  <c r="D45" i="34"/>
  <c r="E45" i="34"/>
  <c r="D44" i="34"/>
  <c r="E44" i="34"/>
  <c r="D43" i="34"/>
  <c r="E43" i="34"/>
  <c r="D42" i="34"/>
  <c r="E42" i="34"/>
  <c r="D41" i="34"/>
  <c r="E41" i="34"/>
  <c r="D40" i="34"/>
  <c r="E40" i="34"/>
  <c r="D39" i="34"/>
  <c r="E39" i="34"/>
  <c r="D38" i="34"/>
  <c r="E38" i="34"/>
  <c r="C25" i="34"/>
  <c r="C18" i="34"/>
  <c r="C20" i="34"/>
  <c r="E13" i="34" a="1"/>
  <c r="E13" i="34"/>
  <c r="C8" i="34"/>
  <c r="G4" i="34"/>
  <c r="H2" i="34"/>
  <c r="C18" i="33"/>
  <c r="H2" i="33"/>
  <c r="D48" i="33"/>
  <c r="E48" i="33"/>
  <c r="D47" i="33"/>
  <c r="E47" i="33"/>
  <c r="D46" i="33"/>
  <c r="E46" i="33"/>
  <c r="D45" i="33"/>
  <c r="E45" i="33"/>
  <c r="D44" i="33"/>
  <c r="E44" i="33"/>
  <c r="D43" i="33"/>
  <c r="E43" i="33"/>
  <c r="D42" i="33"/>
  <c r="E42" i="33"/>
  <c r="D41" i="33"/>
  <c r="E41" i="33"/>
  <c r="D40" i="33"/>
  <c r="E40" i="33"/>
  <c r="D39" i="33"/>
  <c r="E39" i="33"/>
  <c r="D38" i="33"/>
  <c r="E38" i="33"/>
  <c r="C25" i="33"/>
  <c r="C20" i="33"/>
  <c r="E13" i="33" a="1"/>
  <c r="E13" i="33"/>
  <c r="C8" i="33"/>
  <c r="G4" i="33"/>
  <c r="C25" i="1"/>
  <c r="G4" i="1"/>
  <c r="H2" i="1"/>
  <c r="E13" i="1" a="1"/>
  <c r="E13" i="1"/>
  <c r="C20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38" i="1"/>
  <c r="E38" i="1"/>
  <c r="C8" i="1"/>
  <c r="G5" i="1"/>
  <c r="G5" i="33"/>
  <c r="G5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<sst xmlns="http://schemas.openxmlformats.org/spreadsheetml/2006/main" count="141" uniqueCount="45">
  <si>
    <t>Food</t>
  </si>
  <si>
    <t>Beverage</t>
  </si>
  <si>
    <t>Staff</t>
  </si>
  <si>
    <t>Score %</t>
  </si>
  <si>
    <t>Target Sales</t>
  </si>
  <si>
    <t>Signature Cocktails</t>
  </si>
  <si>
    <t>International Cocktails</t>
  </si>
  <si>
    <t>Total</t>
  </si>
  <si>
    <t>Number of Customers</t>
  </si>
  <si>
    <t>Average Check</t>
  </si>
  <si>
    <t>Total Sales</t>
  </si>
  <si>
    <t>TOTAL</t>
  </si>
  <si>
    <t>Date</t>
  </si>
  <si>
    <t>Category</t>
  </si>
  <si>
    <t>Discount</t>
  </si>
  <si>
    <t>ACTUAL</t>
  </si>
  <si>
    <t>SALES TARGET</t>
  </si>
  <si>
    <t>SCORE%</t>
  </si>
  <si>
    <t>SUMMARY</t>
  </si>
  <si>
    <t>ACTUAL VS. TARGET</t>
  </si>
  <si>
    <t>Month To Date</t>
  </si>
  <si>
    <t>April</t>
  </si>
  <si>
    <t>Monday</t>
  </si>
  <si>
    <t>Tuesday</t>
  </si>
  <si>
    <t>Thursday</t>
  </si>
  <si>
    <t>Friday</t>
  </si>
  <si>
    <t>Saturday</t>
  </si>
  <si>
    <t>Sunday</t>
  </si>
  <si>
    <t>January</t>
  </si>
  <si>
    <t>February</t>
  </si>
  <si>
    <t>May</t>
  </si>
  <si>
    <t>June</t>
  </si>
  <si>
    <t>July</t>
  </si>
  <si>
    <t>August</t>
  </si>
  <si>
    <t>November</t>
  </si>
  <si>
    <t>Month</t>
  </si>
  <si>
    <t>1st</t>
  </si>
  <si>
    <t>December</t>
  </si>
  <si>
    <t>Main Reading</t>
  </si>
  <si>
    <t>Entrance</t>
  </si>
  <si>
    <t>Bangalows</t>
  </si>
  <si>
    <t>Jacuzzi</t>
  </si>
  <si>
    <t>MTD Discount</t>
  </si>
  <si>
    <t>Total To Date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</si>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</sst>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LBP]\ * #,##0_);_([$LBP]\ * \(#,##0\);_([$LBP]\ * &quot;-&quot;_);_(@_)"/>
    <numFmt numFmtId="165" formatCode="_(* #,##0_);_(* \(#,##0\);_(* &quot;-&quot;??_);_(@_)"/>
  </numFmts>
  <fonts count="8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/>
      <bottom style="hair">
        <color theme="1" tint="0.3499862666707357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theme="4"/>
      </bottom>
      <diagonal/>
    </border>
  </borders>
  <cellStyleXfs count="40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7" fillId="0" borderId="18" applyNumberFormat="0" applyFill="0" applyAlignment="0" applyProtection="0"/>
  </cellStyleXfs>
  <cellXfs count="72">
    <xf numFmtId="0" fontId="0" fillId="0" borderId="0" xfId="0"/>
    <xf numFmtId="164" fontId="0" fillId="2" borderId="1" xfId="0" applyNumberFormat="1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164" fontId="0" fillId="2" borderId="4" xfId="0" applyNumberFormat="1" applyFill="1" applyBorder="1" applyProtection="1"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1" xfId="0" applyFill="1" applyBorder="1" applyProtection="1">
      <protection locked="0"/>
    </xf>
    <xf numFmtId="0" fontId="1" fillId="2" borderId="17" xfId="0" applyFont="1" applyFill="1" applyBorder="1" applyAlignment="1" applyProtection="1">
      <alignment horizontal="right"/>
      <protection locked="0"/>
    </xf>
    <xf numFmtId="0" fontId="1" fillId="2" borderId="17" xfId="0" applyFont="1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0" fontId="0" fillId="8" borderId="0" xfId="0" applyFill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left" indent="1"/>
      <protection locked="0"/>
    </xf>
    <xf numFmtId="9" fontId="0" fillId="2" borderId="0" xfId="1" applyFont="1" applyFill="1" applyBorder="1" applyAlignment="1" applyProtection="1">
      <alignment horizontal="left"/>
      <protection locked="0"/>
    </xf>
    <xf numFmtId="0" fontId="0" fillId="2" borderId="0" xfId="0" applyFill="1" applyAlignment="1" applyProtection="1">
      <alignment horizontal="left" vertical="center" wrapText="1" indent="1"/>
      <protection locked="0"/>
    </xf>
    <xf numFmtId="0" fontId="0" fillId="2" borderId="0" xfId="0" applyFill="1" applyAlignment="1" applyProtection="1">
      <alignment horizontal="left" vertical="center" wrapText="1"/>
      <protection locked="0"/>
    </xf>
    <xf numFmtId="0" fontId="0" fillId="6" borderId="1" xfId="0" applyFill="1" applyBorder="1" applyAlignment="1" applyProtection="1">
      <alignment horizontal="left" vertical="center" wrapText="1"/>
      <protection locked="0"/>
    </xf>
    <xf numFmtId="0" fontId="0" fillId="5" borderId="1" xfId="0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9" fontId="0" fillId="2" borderId="5" xfId="1" applyFont="1" applyFill="1" applyBorder="1" applyAlignment="1" applyProtection="1">
      <alignment horizont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hidden="1"/>
    </xf>
    <xf numFmtId="9" fontId="0" fillId="2" borderId="1" xfId="1" applyFont="1" applyFill="1" applyBorder="1" applyAlignment="1" applyProtection="1">
      <alignment horizontal="center" vertical="center"/>
      <protection hidden="1"/>
    </xf>
    <xf numFmtId="9" fontId="0" fillId="2" borderId="0" xfId="1" applyFont="1" applyFill="1" applyBorder="1" applyAlignment="1" applyProtection="1">
      <alignment horizontal="center"/>
      <protection locked="0"/>
    </xf>
    <xf numFmtId="164" fontId="0" fillId="2" borderId="6" xfId="0" applyNumberFormat="1" applyFill="1" applyBorder="1" applyProtection="1"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2" fillId="2" borderId="22" xfId="0" applyFont="1" applyFill="1" applyBorder="1" applyAlignment="1" applyProtection="1">
      <alignment horizontal="right"/>
      <protection locked="0"/>
    </xf>
    <xf numFmtId="0" fontId="2" fillId="2" borderId="23" xfId="0" applyFont="1" applyFill="1" applyBorder="1" applyAlignment="1" applyProtection="1">
      <alignment horizontal="center"/>
      <protection locked="0"/>
    </xf>
    <xf numFmtId="0" fontId="0" fillId="2" borderId="23" xfId="0" applyFill="1" applyBorder="1" applyProtection="1">
      <protection locked="0"/>
    </xf>
    <xf numFmtId="164" fontId="0" fillId="2" borderId="23" xfId="0" applyNumberFormat="1" applyFill="1" applyBorder="1" applyProtection="1">
      <protection hidden="1"/>
    </xf>
    <xf numFmtId="0" fontId="0" fillId="2" borderId="24" xfId="0" applyFill="1" applyBorder="1" applyProtection="1">
      <protection locked="0"/>
    </xf>
    <xf numFmtId="0" fontId="2" fillId="2" borderId="25" xfId="0" applyFont="1" applyFill="1" applyBorder="1" applyAlignment="1" applyProtection="1">
      <alignment horizontal="right"/>
      <protection locked="0"/>
    </xf>
    <xf numFmtId="0" fontId="0" fillId="2" borderId="0" xfId="0" applyFill="1" applyAlignment="1" applyProtection="1">
      <alignment horizontal="left"/>
      <protection locked="0"/>
    </xf>
    <xf numFmtId="164" fontId="0" fillId="2" borderId="0" xfId="0" applyNumberFormat="1" applyFill="1" applyAlignment="1" applyProtection="1">
      <alignment horizontal="left"/>
      <protection hidden="1"/>
    </xf>
    <xf numFmtId="0" fontId="0" fillId="2" borderId="26" xfId="0" applyFill="1" applyBorder="1" applyAlignment="1" applyProtection="1">
      <alignment horizontal="left"/>
      <protection locked="0"/>
    </xf>
    <xf numFmtId="0" fontId="0" fillId="2" borderId="27" xfId="0" applyFill="1" applyBorder="1" applyProtection="1">
      <protection locked="0"/>
    </xf>
    <xf numFmtId="0" fontId="0" fillId="2" borderId="28" xfId="0" applyFill="1" applyBorder="1" applyProtection="1">
      <protection locked="0"/>
    </xf>
    <xf numFmtId="164" fontId="0" fillId="2" borderId="28" xfId="0" applyNumberFormat="1" applyFill="1" applyBorder="1" applyProtection="1">
      <protection hidden="1"/>
    </xf>
    <xf numFmtId="0" fontId="0" fillId="2" borderId="29" xfId="0" applyFill="1" applyBorder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4" fontId="7" fillId="2" borderId="18" xfId="39" applyNumberFormat="1" applyFill="1" applyAlignment="1" applyProtection="1">
      <alignment horizontal="center"/>
      <protection hidden="1"/>
    </xf>
    <xf numFmtId="165" fontId="0" fillId="2" borderId="20" xfId="38" applyNumberFormat="1" applyFont="1" applyFill="1" applyBorder="1" applyAlignment="1" applyProtection="1">
      <alignment horizontal="center"/>
      <protection locked="0"/>
    </xf>
    <xf numFmtId="165" fontId="0" fillId="2" borderId="1" xfId="38" applyNumberFormat="1" applyFont="1" applyFill="1" applyBorder="1" applyAlignment="1" applyProtection="1">
      <alignment horizontal="center"/>
      <protection locked="0"/>
    </xf>
    <xf numFmtId="165" fontId="0" fillId="2" borderId="0" xfId="38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2" borderId="7" xfId="0" applyFill="1" applyBorder="1" applyAlignment="1" applyProtection="1">
      <alignment horizontal="left" indent="1"/>
      <protection locked="0"/>
    </xf>
    <xf numFmtId="164" fontId="7" fillId="2" borderId="30" xfId="39" applyNumberFormat="1" applyFill="1" applyBorder="1" applyAlignment="1" applyProtection="1">
      <alignment horizontal="center"/>
      <protection hidden="1"/>
    </xf>
    <xf numFmtId="164" fontId="0" fillId="2" borderId="7" xfId="0" applyNumberFormat="1" applyFill="1" applyBorder="1" applyProtection="1">
      <protection locked="0"/>
    </xf>
    <xf numFmtId="164" fontId="7" fillId="2" borderId="0" xfId="39" applyNumberFormat="1" applyFill="1" applyBorder="1" applyAlignment="1" applyProtection="1">
      <alignment horizontal="center"/>
      <protection hidden="1"/>
    </xf>
    <xf numFmtId="0" fontId="0" fillId="3" borderId="0" xfId="0" applyFill="1" applyProtection="1">
      <protection locked="0"/>
    </xf>
    <xf numFmtId="164" fontId="0" fillId="2" borderId="21" xfId="0" applyNumberFormat="1" applyFill="1" applyBorder="1" applyProtection="1">
      <protection hidden="1"/>
    </xf>
    <xf numFmtId="0" fontId="0" fillId="2" borderId="11" xfId="0" applyFill="1" applyBorder="1" applyAlignment="1" applyProtection="1">
      <alignment horizontal="left"/>
      <protection locked="0"/>
    </xf>
    <xf numFmtId="0" fontId="0" fillId="2" borderId="12" xfId="0" applyFill="1" applyBorder="1" applyAlignment="1" applyProtection="1">
      <alignment horizontal="left"/>
      <protection locked="0"/>
    </xf>
    <xf numFmtId="0" fontId="0" fillId="2" borderId="13" xfId="0" applyFill="1" applyBorder="1" applyAlignment="1" applyProtection="1">
      <alignment horizontal="left"/>
      <protection locked="0"/>
    </xf>
    <xf numFmtId="0" fontId="0" fillId="2" borderId="14" xfId="0" applyFill="1" applyBorder="1" applyAlignment="1" applyProtection="1">
      <alignment horizontal="left"/>
      <protection locked="0"/>
    </xf>
    <xf numFmtId="0" fontId="0" fillId="2" borderId="15" xfId="0" applyFill="1" applyBorder="1" applyAlignment="1" applyProtection="1">
      <alignment horizontal="left"/>
      <protection locked="0"/>
    </xf>
    <xf numFmtId="0" fontId="0" fillId="2" borderId="16" xfId="0" applyFill="1" applyBorder="1" applyAlignment="1" applyProtection="1">
      <alignment horizontal="left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left" readingOrder="1"/>
      <protection locked="0"/>
    </xf>
    <xf numFmtId="0" fontId="0" fillId="2" borderId="9" xfId="0" applyFill="1" applyBorder="1" applyAlignment="1" applyProtection="1">
      <alignment horizontal="left" readingOrder="1"/>
      <protection locked="0"/>
    </xf>
    <xf numFmtId="0" fontId="0" fillId="2" borderId="10" xfId="0" applyFill="1" applyBorder="1" applyAlignment="1" applyProtection="1">
      <alignment horizontal="left" readingOrder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9" fontId="0" fillId="2" borderId="0" xfId="1" applyFont="1" applyFill="1" applyBorder="1" applyAlignment="1" applyProtection="1">
      <alignment horizontal="center"/>
      <protection locked="0"/>
    </xf>
  </cellXfs>
  <cellStyles count="40">
    <cellStyle name="Comma" xfId="38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  <cellStyle name="Percent" xfId="1" builtinId="5"/>
    <cellStyle name="Total" xfId="39" builtinId="2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2732459939778637E-2"/>
          <c:y val="0.10574487984523158"/>
          <c:w val="0.95726759853609644"/>
          <c:h val="0.67814723472672322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'1'!$B$29:$B$30</c:f>
              <c:strCache>
                <c:ptCount val="2"/>
                <c:pt idx="0">
                  <c:v>Signature Cocktails</c:v>
                </c:pt>
                <c:pt idx="1">
                  <c:v>International Cocktails</c:v>
                </c:pt>
              </c:strCache>
            </c:strRef>
          </c:cat>
          <c:val>
            <c:numRef>
              <c:f>'1'!$C$29:$C$30</c:f>
              <c:numCache>
                <c:formatCode>_(* #,##0_);_(* \(#,##0\);_(* "-"??_);_(@_)</c:formatCode>
                <c:ptCount val="2"/>
                <c:pt idx="0">
                  <c:v>50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4-4186-81AB-DDAAAB334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8.7893531413023945E-2"/>
          <c:y val="0.82115957900523684"/>
          <c:w val="0.70110594996107489"/>
          <c:h val="0.1391024683103162"/>
        </c:manualLayout>
      </c:layout>
      <c:overlay val="0"/>
    </c:legend>
    <c:plotVisOnly val="1"/>
    <c:dispBlanksAs val="zero"/>
    <c:showDLblsOverMax val="0"/>
  </c:chart>
  <c:printSettings>
    <c:headerFooter/>
    <c:pageMargins b="1" l="0.75000000000000078" r="0.750000000000000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9919153071369583E-2"/>
          <c:y val="7.4074241179018452E-2"/>
          <c:w val="0.948762731837635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'1'!$E$13:$E$17</c:f>
              <c:strCache>
                <c:ptCount val="5"/>
                <c:pt idx="0">
                  <c:v>Beverage</c:v>
                </c:pt>
                <c:pt idx="1">
                  <c:v>Bangalows</c:v>
                </c:pt>
                <c:pt idx="2">
                  <c:v>Jacuzzi</c:v>
                </c:pt>
                <c:pt idx="3">
                  <c:v>Entrance</c:v>
                </c:pt>
                <c:pt idx="4">
                  <c:v>Food</c:v>
                </c:pt>
              </c:strCache>
            </c:strRef>
          </c:cat>
          <c:val>
            <c:numRef>
              <c:f>'1'!$F$13:$F$17</c:f>
              <c:numCache>
                <c:formatCode>General</c:formatCode>
                <c:ptCount val="5"/>
                <c:pt idx="0">
                  <c:v>700000</c:v>
                </c:pt>
                <c:pt idx="1">
                  <c:v>800000</c:v>
                </c:pt>
                <c:pt idx="2">
                  <c:v>1000000</c:v>
                </c:pt>
                <c:pt idx="3">
                  <c:v>3000000</c:v>
                </c:pt>
                <c:pt idx="4">
                  <c:v>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4-4926-86C0-6E4A89FC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469584"/>
        <c:axId val="664469912"/>
      </c:barChart>
      <c:catAx>
        <c:axId val="6644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69912"/>
        <c:crosses val="autoZero"/>
        <c:auto val="1"/>
        <c:lblAlgn val="ctr"/>
        <c:lblOffset val="100"/>
        <c:noMultiLvlLbl val="0"/>
      </c:catAx>
      <c:valAx>
        <c:axId val="664469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446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2732459939778637E-2"/>
          <c:y val="0.10574487984523158"/>
          <c:w val="0.95726759853609644"/>
          <c:h val="0.67814723472672322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'2'!$B$29:$B$30</c:f>
              <c:strCache>
                <c:ptCount val="2"/>
                <c:pt idx="0">
                  <c:v>Signature Cocktails</c:v>
                </c:pt>
                <c:pt idx="1">
                  <c:v>International Cocktails</c:v>
                </c:pt>
              </c:strCache>
            </c:strRef>
          </c:cat>
          <c:val>
            <c:numRef>
              <c:f>'2'!$C$29:$C$30</c:f>
              <c:numCache>
                <c:formatCode>_(* #,##0_);_(* \(#,##0\);_(* "-"??_);_(@_)</c:formatCode>
                <c:ptCount val="2"/>
                <c:pt idx="0">
                  <c:v>50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E-465B-B94A-B8B5C66B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8.7893531413023945E-2"/>
          <c:y val="0.82115957900523684"/>
          <c:w val="0.70110594996107489"/>
          <c:h val="0.1391024683103162"/>
        </c:manualLayout>
      </c:layout>
      <c:overlay val="0"/>
    </c:legend>
    <c:plotVisOnly val="1"/>
    <c:dispBlanksAs val="zero"/>
    <c:showDLblsOverMax val="0"/>
  </c:chart>
  <c:printSettings>
    <c:headerFooter/>
    <c:pageMargins b="1" l="0.75000000000000078" r="0.75000000000000078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1264837291347289E-2"/>
          <c:y val="2.2068968713037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919153071369583E-2"/>
          <c:y val="7.4074241179018452E-2"/>
          <c:w val="0.948762731837635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'2'!$C$12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'2'!$E$13:$E$17</c:f>
              <c:strCache>
                <c:ptCount val="5"/>
                <c:pt idx="0">
                  <c:v>Bangalows</c:v>
                </c:pt>
                <c:pt idx="1">
                  <c:v>Jacuzzi</c:v>
                </c:pt>
                <c:pt idx="2">
                  <c:v>Entrance</c:v>
                </c:pt>
                <c:pt idx="3">
                  <c:v>Food</c:v>
                </c:pt>
                <c:pt idx="4">
                  <c:v>Beverage</c:v>
                </c:pt>
              </c:strCache>
            </c:strRef>
          </c:cat>
          <c:val>
            <c:numRef>
              <c:f>'2'!$F$13:$F$17</c:f>
              <c:numCache>
                <c:formatCode>General</c:formatCode>
                <c:ptCount val="5"/>
                <c:pt idx="0">
                  <c:v>400000</c:v>
                </c:pt>
                <c:pt idx="1">
                  <c:v>500000</c:v>
                </c:pt>
                <c:pt idx="2">
                  <c:v>6000000</c:v>
                </c:pt>
                <c:pt idx="3">
                  <c:v>6000000</c:v>
                </c:pt>
                <c:pt idx="4">
                  <c:v>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5-4ED9-B8C1-3216A3CE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469584"/>
        <c:axId val="664469912"/>
      </c:barChart>
      <c:catAx>
        <c:axId val="6644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69912"/>
        <c:crosses val="autoZero"/>
        <c:auto val="1"/>
        <c:lblAlgn val="ctr"/>
        <c:lblOffset val="100"/>
        <c:noMultiLvlLbl val="0"/>
      </c:catAx>
      <c:valAx>
        <c:axId val="664469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446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2732459939778637E-2"/>
          <c:y val="0.10574487984523158"/>
          <c:w val="0.95726759853609644"/>
          <c:h val="0.67814723472672322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'3'!$B$29:$B$30</c:f>
              <c:strCache>
                <c:ptCount val="2"/>
                <c:pt idx="0">
                  <c:v>Signature Cocktails</c:v>
                </c:pt>
                <c:pt idx="1">
                  <c:v>International Cocktails</c:v>
                </c:pt>
              </c:strCache>
            </c:strRef>
          </c:cat>
          <c:val>
            <c:numRef>
              <c:f>'3'!$C$29:$C$30</c:f>
              <c:numCache>
                <c:formatCode>_(* #,##0_);_(* \(#,##0\);_(* "-"??_);_(@_)</c:formatCode>
                <c:ptCount val="2"/>
                <c:pt idx="0">
                  <c:v>50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FF6-A9F0-E8443AC87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8.7893531413023945E-2"/>
          <c:y val="0.82115957900523684"/>
          <c:w val="0.70110594996107489"/>
          <c:h val="0.1391024683103162"/>
        </c:manualLayout>
      </c:layout>
      <c:overlay val="0"/>
    </c:legend>
    <c:plotVisOnly val="1"/>
    <c:dispBlanksAs val="zero"/>
    <c:showDLblsOverMax val="0"/>
  </c:chart>
  <c:printSettings>
    <c:headerFooter/>
    <c:pageMargins b="1" l="0.75000000000000078" r="0.75000000000000078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1264837291347289E-2"/>
          <c:y val="2.2068968713037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919153071369583E-2"/>
          <c:y val="7.4074241179018452E-2"/>
          <c:w val="0.948762731837635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'3'!$C$12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'3'!$E$13:$E$17</c:f>
              <c:strCache>
                <c:ptCount val="5"/>
                <c:pt idx="0">
                  <c:v>Bangalows</c:v>
                </c:pt>
                <c:pt idx="1">
                  <c:v>Jacuzzi</c:v>
                </c:pt>
                <c:pt idx="2">
                  <c:v>Food</c:v>
                </c:pt>
                <c:pt idx="3">
                  <c:v>Entrance</c:v>
                </c:pt>
                <c:pt idx="4">
                  <c:v>Beverage</c:v>
                </c:pt>
              </c:strCache>
            </c:strRef>
          </c:cat>
          <c:val>
            <c:numRef>
              <c:f>'3'!$F$13:$F$17</c:f>
              <c:numCache>
                <c:formatCode>General</c:formatCode>
                <c:ptCount val="5"/>
                <c:pt idx="0">
                  <c:v>800000</c:v>
                </c:pt>
                <c:pt idx="1">
                  <c:v>1000000</c:v>
                </c:pt>
                <c:pt idx="2">
                  <c:v>8000000</c:v>
                </c:pt>
                <c:pt idx="3">
                  <c:v>9000000</c:v>
                </c:pt>
                <c:pt idx="4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D-4AD0-BCC3-55C0B464C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469584"/>
        <c:axId val="664469912"/>
      </c:barChart>
      <c:catAx>
        <c:axId val="6644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69912"/>
        <c:crosses val="autoZero"/>
        <c:auto val="1"/>
        <c:lblAlgn val="ctr"/>
        <c:lblOffset val="100"/>
        <c:noMultiLvlLbl val="0"/>
      </c:catAx>
      <c:valAx>
        <c:axId val="664469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446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392907</xdr:colOff>
      <xdr:row>24</xdr:row>
      <xdr:rowOff>154781</xdr:rowOff>
    </xdr:from>
    <xdr:to>
      <xdr:col>7</xdr:col>
      <xdr:colOff>976312</xdr:colOff>
      <xdr:row>32</xdr:row>
      <xdr:rowOff>83343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250031</xdr:colOff>
      <xdr:row>6</xdr:row>
      <xdr:rowOff>202408</xdr:rowOff>
    </xdr:from>
    <xdr:to>
      <xdr:col>7</xdr:col>
      <xdr:colOff>869155</xdr:colOff>
      <xdr:row>20</xdr:row>
      <xdr:rowOff>154783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48A1F-8EF9-427B-ABEE-C67230D3A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392907</xdr:colOff>
      <xdr:row>24</xdr:row>
      <xdr:rowOff>154781</xdr:rowOff>
    </xdr:from>
    <xdr:to>
      <xdr:col>7</xdr:col>
      <xdr:colOff>976312</xdr:colOff>
      <xdr:row>32</xdr:row>
      <xdr:rowOff>83343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A11FD-7F18-4BAC-B0E2-9216E61E6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285750</xdr:colOff>
      <xdr:row>7</xdr:row>
      <xdr:rowOff>95252</xdr:rowOff>
    </xdr:from>
    <xdr:to>
      <xdr:col>7</xdr:col>
      <xdr:colOff>904874</xdr:colOff>
      <xdr:row>21</xdr:row>
      <xdr:rowOff>47627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5B7D7-0D77-4453-9907-408F1C31A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392907</xdr:colOff>
      <xdr:row>24</xdr:row>
      <xdr:rowOff>154781</xdr:rowOff>
    </xdr:from>
    <xdr:to>
      <xdr:col>7</xdr:col>
      <xdr:colOff>976312</xdr:colOff>
      <xdr:row>32</xdr:row>
      <xdr:rowOff>83343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0BA65-F000-4402-913A-9EE0EC29F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285750</xdr:colOff>
      <xdr:row>7</xdr:row>
      <xdr:rowOff>95252</xdr:rowOff>
    </xdr:from>
    <xdr:to>
      <xdr:col>7</xdr:col>
      <xdr:colOff>904874</xdr:colOff>
      <xdr:row>21</xdr:row>
      <xdr:rowOff>47627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83CAD4-1140-408C-8862-4A2511AF3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60"/>
  <sheetViews>
    <sheetView showGridLines="0" tabSelected="1" zoomScale="80" zoomScaleNormal="80" zoomScalePageLayoutView="85" workbookViewId="0">
      <selection activeCell="L11" sqref="L11"/>
    </sheetView>
  </sheetViews>
  <sheetFormatPr defaultColWidth="10.8984375" defaultRowHeight="15.6" x14ac:dyDescent="0.3"/>
  <cols>
    <col min="1" max="1" width="4.5" style="12" customWidth="1"/>
    <col min="2" max="2" width="24" style="12" bestFit="1" customWidth="1"/>
    <col min="3" max="3" width="16.8984375" style="12" customWidth="1"/>
    <col min="4" max="4" width="15.59765625" style="12" customWidth="1"/>
    <col min="5" max="5" width="15.59765625" style="12" bestFit="1" customWidth="1"/>
    <col min="6" max="6" width="13.59765625" style="12" customWidth="1"/>
    <col min="7" max="7" width="17.09765625" style="12" customWidth="1"/>
    <col min="8" max="8" width="15.59765625" style="12" bestFit="1" customWidth="1"/>
    <col min="9" max="9" width="10.8984375" style="12" customWidth="1"/>
    <col min="10" max="11" width="10.8984375" style="12" hidden="1" customWidth="1"/>
    <col min="12" max="13" width="10.8984375" style="12" customWidth="1"/>
    <col min="14" max="16384" width="10.8984375" style="12"/>
  </cols>
  <sheetData>
    <row r="1" spans="2:11" ht="20.100000000000001" customHeight="1" thickBot="1" x14ac:dyDescent="0.35">
      <c r="B1" s="57"/>
      <c r="C1" s="57"/>
      <c r="D1" s="57"/>
      <c r="E1" s="57"/>
      <c r="F1" s="57"/>
      <c r="G1" s="57"/>
      <c r="H1" s="57"/>
    </row>
    <row r="2" spans="2:11" ht="20.100000000000001" customHeight="1" thickTop="1" thickBot="1" x14ac:dyDescent="0.35">
      <c r="B2" s="10"/>
      <c r="C2" s="10"/>
      <c r="D2" s="10"/>
      <c r="E2" s="10"/>
      <c r="F2" s="10"/>
      <c r="G2" s="8" t="s">
        <v>38</v>
      </c>
      <c r="H2" s="58">
        <f>C18-C25</f>
        <v>13500000</v>
      </c>
    </row>
    <row r="3" spans="2:11" ht="20.100000000000001" customHeight="1" x14ac:dyDescent="0.3">
      <c r="B3" s="33" t="s">
        <v>35</v>
      </c>
      <c r="C3" s="34" t="s">
        <v>32</v>
      </c>
      <c r="D3" s="34">
        <v>2021</v>
      </c>
      <c r="E3" s="35"/>
      <c r="F3" s="35" t="s">
        <v>20</v>
      </c>
      <c r="G3" s="36">
        <f>C18</f>
        <v>13500000</v>
      </c>
      <c r="H3" s="37"/>
    </row>
    <row r="4" spans="2:11" ht="20.100000000000001" customHeight="1" x14ac:dyDescent="0.3">
      <c r="B4" s="38" t="s">
        <v>12</v>
      </c>
      <c r="C4" s="6" t="s">
        <v>24</v>
      </c>
      <c r="D4" s="7" t="s">
        <v>36</v>
      </c>
      <c r="E4" s="39"/>
      <c r="F4" s="39" t="s">
        <v>42</v>
      </c>
      <c r="G4" s="40">
        <f>C25</f>
        <v>0</v>
      </c>
      <c r="H4" s="41"/>
    </row>
    <row r="5" spans="2:11" ht="20.100000000000001" customHeight="1" thickBot="1" x14ac:dyDescent="0.35">
      <c r="B5" s="42"/>
      <c r="C5" s="43"/>
      <c r="D5" s="43"/>
      <c r="E5" s="43"/>
      <c r="F5" s="43" t="s">
        <v>43</v>
      </c>
      <c r="G5" s="44">
        <f>G3-G4</f>
        <v>13500000</v>
      </c>
      <c r="H5" s="45"/>
    </row>
    <row r="6" spans="2:11" ht="20.100000000000001" customHeight="1" x14ac:dyDescent="0.3">
      <c r="B6" s="70"/>
      <c r="C6" s="70"/>
      <c r="D6" s="70"/>
      <c r="E6" s="70"/>
      <c r="F6" s="70"/>
      <c r="G6" s="70"/>
      <c r="H6" s="70"/>
    </row>
    <row r="7" spans="2:11" ht="20.100000000000001" customHeight="1" thickBot="1" x14ac:dyDescent="0.35">
      <c r="B7" s="13" t="s">
        <v>4</v>
      </c>
      <c r="C7" s="13" t="s">
        <v>3</v>
      </c>
      <c r="D7" s="10"/>
      <c r="E7" s="10"/>
      <c r="F7" s="10"/>
      <c r="G7" s="10"/>
      <c r="H7" s="10"/>
    </row>
    <row r="8" spans="2:11" ht="20.100000000000001" customHeight="1" thickTop="1" thickBot="1" x14ac:dyDescent="0.35">
      <c r="B8" s="3">
        <v>12000000</v>
      </c>
      <c r="C8" s="26">
        <f>IFERROR($D$18/B8,0)</f>
        <v>0</v>
      </c>
      <c r="D8" s="13"/>
      <c r="E8" s="10"/>
      <c r="F8" s="10"/>
      <c r="G8" s="10"/>
      <c r="H8" s="10"/>
    </row>
    <row r="9" spans="2:11" ht="20.100000000000001" customHeight="1" thickTop="1" thickBot="1" x14ac:dyDescent="0.35">
      <c r="B9" s="13"/>
      <c r="C9" s="13"/>
      <c r="D9" s="13"/>
      <c r="E9" s="10"/>
      <c r="F9" s="10"/>
      <c r="G9" s="11"/>
      <c r="H9" s="11"/>
    </row>
    <row r="10" spans="2:11" ht="20.100000000000001" customHeight="1" thickTop="1" thickBot="1" x14ac:dyDescent="0.35">
      <c r="B10" s="8" t="s">
        <v>8</v>
      </c>
      <c r="C10" s="31">
        <v>150</v>
      </c>
      <c r="D10" s="13"/>
      <c r="E10" s="10"/>
      <c r="F10" s="10"/>
      <c r="G10" s="11"/>
      <c r="H10" s="11"/>
    </row>
    <row r="11" spans="2:11" ht="20.100000000000001" customHeight="1" thickTop="1" x14ac:dyDescent="0.3">
      <c r="B11" s="13"/>
      <c r="C11" s="13"/>
      <c r="D11" s="13"/>
      <c r="E11" s="10"/>
      <c r="F11" s="10"/>
      <c r="G11" s="11"/>
      <c r="H11" s="11"/>
    </row>
    <row r="12" spans="2:11" ht="20.100000000000001" customHeight="1" x14ac:dyDescent="0.3">
      <c r="B12" s="13" t="s">
        <v>13</v>
      </c>
      <c r="C12" s="14" t="s">
        <v>10</v>
      </c>
      <c r="D12" s="46"/>
      <c r="E12" s="13"/>
      <c r="F12" s="10"/>
      <c r="G12" s="10"/>
      <c r="H12" s="11"/>
    </row>
    <row r="13" spans="2:11" ht="20.100000000000001" customHeight="1" x14ac:dyDescent="0.3">
      <c r="B13" s="5" t="s">
        <v>39</v>
      </c>
      <c r="C13" s="1">
        <v>3000000</v>
      </c>
      <c r="D13" s="46"/>
      <c r="E13" s="12" t="str" cm="1">
        <f t="array" ref="E13:F17">_xlfn._xlws.SORT(SalesTable,2,1,FALSE)</f>
        <v>Beverage</v>
      </c>
      <c r="F13" s="12">
        <v>700000</v>
      </c>
      <c r="G13" s="10"/>
      <c r="H13" s="11"/>
    </row>
    <row r="14" spans="2:11" ht="20.100000000000001" customHeight="1" x14ac:dyDescent="0.3">
      <c r="B14" s="5" t="s">
        <v>40</v>
      </c>
      <c r="C14" s="1">
        <v>800000</v>
      </c>
      <c r="D14" s="46"/>
      <c r="E14" s="12" t="str">
        <v>Bangalows</v>
      </c>
      <c r="F14" s="12">
        <v>800000</v>
      </c>
      <c r="G14" s="10"/>
      <c r="H14" s="11"/>
    </row>
    <row r="15" spans="2:11" ht="20.100000000000001" customHeight="1" x14ac:dyDescent="0.3">
      <c r="B15" s="5" t="s">
        <v>41</v>
      </c>
      <c r="C15" s="1">
        <v>1000000</v>
      </c>
      <c r="D15" s="46"/>
      <c r="E15" s="12" t="str">
        <v>Jacuzzi</v>
      </c>
      <c r="F15" s="12">
        <v>1000000</v>
      </c>
      <c r="G15" s="10"/>
      <c r="H15" s="11"/>
    </row>
    <row r="16" spans="2:11" ht="20.100000000000001" customHeight="1" x14ac:dyDescent="0.3">
      <c r="B16" s="5" t="s">
        <v>0</v>
      </c>
      <c r="C16" s="1">
        <v>8000000</v>
      </c>
      <c r="D16" s="46"/>
      <c r="E16" s="12" t="str">
        <v>Entrance</v>
      </c>
      <c r="F16" s="12">
        <v>3000000</v>
      </c>
      <c r="G16" s="10"/>
      <c r="H16" s="11"/>
      <c r="J16" s="12" t="s">
        <v>28</v>
      </c>
      <c r="K16" s="12" t="s">
        <v>22</v>
      </c>
    </row>
    <row r="17" spans="2:11" ht="20.100000000000001" customHeight="1" x14ac:dyDescent="0.3">
      <c r="B17" s="5" t="s">
        <v>1</v>
      </c>
      <c r="C17" s="1">
        <v>700000</v>
      </c>
      <c r="D17" s="46"/>
      <c r="E17" s="12" t="str">
        <v>Food</v>
      </c>
      <c r="F17" s="12">
        <v>8000000</v>
      </c>
      <c r="G17" s="10"/>
      <c r="H17" s="11"/>
      <c r="J17" s="12" t="s">
        <v>29</v>
      </c>
      <c r="K17" s="12" t="s">
        <v>23</v>
      </c>
    </row>
    <row r="18" spans="2:11" ht="20.100000000000001" customHeight="1" thickBot="1" x14ac:dyDescent="0.35">
      <c r="B18" s="8" t="s">
        <v>11</v>
      </c>
      <c r="C18" s="47">
        <f>SUM(C13:C17)</f>
        <v>13500000</v>
      </c>
      <c r="D18" s="46"/>
      <c r="E18" s="11"/>
      <c r="F18" s="10"/>
      <c r="G18" s="10"/>
      <c r="H18" s="11"/>
      <c r="J18" s="12" t="s">
        <v>21</v>
      </c>
      <c r="K18" s="12" t="s">
        <v>24</v>
      </c>
    </row>
    <row r="19" spans="2:11" ht="20.100000000000001" customHeight="1" thickTop="1" x14ac:dyDescent="0.3">
      <c r="B19" s="15"/>
      <c r="C19" s="16"/>
      <c r="D19" s="16"/>
      <c r="E19" s="10"/>
      <c r="F19" s="10"/>
      <c r="G19" s="10"/>
      <c r="H19" s="10"/>
      <c r="J19" s="12" t="s">
        <v>30</v>
      </c>
      <c r="K19" s="12" t="s">
        <v>25</v>
      </c>
    </row>
    <row r="20" spans="2:11" ht="20.100000000000001" customHeight="1" thickBot="1" x14ac:dyDescent="0.35">
      <c r="B20" s="8" t="s">
        <v>9</v>
      </c>
      <c r="C20" s="47">
        <f>IFERROR(C18/C10,"")</f>
        <v>90000</v>
      </c>
      <c r="D20" s="16"/>
      <c r="E20" s="10"/>
      <c r="F20" s="10"/>
      <c r="G20" s="10"/>
      <c r="H20" s="10"/>
      <c r="J20" s="12" t="s">
        <v>31</v>
      </c>
      <c r="K20" s="12" t="s">
        <v>26</v>
      </c>
    </row>
    <row r="21" spans="2:11" ht="20.100000000000001" customHeight="1" thickTop="1" x14ac:dyDescent="0.3">
      <c r="B21" s="8"/>
      <c r="C21" s="16"/>
      <c r="D21" s="16"/>
      <c r="E21" s="10"/>
      <c r="F21" s="10"/>
      <c r="G21" s="10"/>
      <c r="H21" s="10"/>
      <c r="J21" s="12" t="s">
        <v>32</v>
      </c>
      <c r="K21" s="12" t="s">
        <v>27</v>
      </c>
    </row>
    <row r="22" spans="2:11" ht="20.100000000000001" customHeight="1" thickBot="1" x14ac:dyDescent="0.35">
      <c r="B22" s="15" t="s">
        <v>14</v>
      </c>
      <c r="C22" s="15" t="s">
        <v>7</v>
      </c>
      <c r="D22" s="10"/>
      <c r="E22" s="10"/>
      <c r="F22" s="10"/>
      <c r="G22" s="10"/>
      <c r="H22" s="10"/>
      <c r="J22" s="12" t="s">
        <v>33</v>
      </c>
    </row>
    <row r="23" spans="2:11" ht="20.100000000000001" customHeight="1" x14ac:dyDescent="0.3">
      <c r="B23" s="17"/>
      <c r="C23" s="30">
        <v>0</v>
      </c>
      <c r="D23" s="15"/>
      <c r="E23" s="15"/>
      <c r="F23" s="15"/>
      <c r="G23" s="10"/>
      <c r="H23" s="10"/>
      <c r="J23" s="12" t="s">
        <v>34</v>
      </c>
    </row>
    <row r="24" spans="2:11" ht="20.100000000000001" customHeight="1" thickBot="1" x14ac:dyDescent="0.35">
      <c r="B24" s="53"/>
      <c r="C24" s="55">
        <v>0</v>
      </c>
      <c r="D24" s="10"/>
      <c r="E24" s="18"/>
      <c r="F24" s="18"/>
      <c r="G24" s="10"/>
      <c r="H24" s="10"/>
      <c r="J24" s="12" t="s">
        <v>37</v>
      </c>
    </row>
    <row r="25" spans="2:11" ht="20.100000000000001" customHeight="1" thickBot="1" x14ac:dyDescent="0.35">
      <c r="B25" s="19"/>
      <c r="C25" s="54">
        <f>SUM(C23:C24)</f>
        <v>0</v>
      </c>
      <c r="D25" s="10"/>
      <c r="E25" s="71"/>
      <c r="F25" s="29"/>
      <c r="G25" s="10"/>
      <c r="H25" s="10"/>
    </row>
    <row r="26" spans="2:11" ht="20.100000000000001" customHeight="1" thickTop="1" x14ac:dyDescent="0.3">
      <c r="B26" s="19"/>
      <c r="C26" s="56"/>
      <c r="D26" s="10"/>
      <c r="E26" s="71"/>
      <c r="F26" s="29"/>
      <c r="G26" s="10"/>
      <c r="H26" s="10"/>
    </row>
    <row r="27" spans="2:11" ht="20.100000000000001" customHeight="1" thickBot="1" x14ac:dyDescent="0.35">
      <c r="B27" s="20"/>
      <c r="C27" s="20"/>
      <c r="D27" s="10"/>
      <c r="E27" s="71"/>
      <c r="F27" s="29"/>
      <c r="G27" s="10"/>
      <c r="H27" s="10"/>
    </row>
    <row r="28" spans="2:11" ht="20.100000000000001" customHeight="1" thickBot="1" x14ac:dyDescent="0.35">
      <c r="B28" s="10"/>
      <c r="C28" s="32" t="s">
        <v>44</v>
      </c>
      <c r="D28" s="10"/>
      <c r="E28" s="10"/>
      <c r="F28" s="10"/>
      <c r="G28" s="10"/>
      <c r="H28" s="10"/>
    </row>
    <row r="29" spans="2:11" ht="20.100000000000001" customHeight="1" x14ac:dyDescent="0.3">
      <c r="B29" s="21" t="s">
        <v>5</v>
      </c>
      <c r="C29" s="48">
        <v>50</v>
      </c>
      <c r="D29" s="10"/>
      <c r="E29" s="10"/>
      <c r="F29" s="51"/>
      <c r="G29" s="51"/>
      <c r="H29" s="10"/>
    </row>
    <row r="30" spans="2:11" ht="20.100000000000001" customHeight="1" x14ac:dyDescent="0.3">
      <c r="B30" s="22" t="s">
        <v>6</v>
      </c>
      <c r="C30" s="49">
        <v>100</v>
      </c>
      <c r="D30" s="15"/>
      <c r="E30" s="15"/>
      <c r="F30" s="51"/>
      <c r="G30" s="51"/>
      <c r="H30" s="10"/>
    </row>
    <row r="31" spans="2:11" ht="20.100000000000001" customHeight="1" x14ac:dyDescent="0.3">
      <c r="B31" s="52"/>
      <c r="C31" s="50"/>
      <c r="D31" s="15"/>
      <c r="E31" s="15"/>
      <c r="F31" s="51"/>
      <c r="G31" s="51"/>
      <c r="H31" s="10"/>
    </row>
    <row r="32" spans="2:11" ht="20.100000000000001" customHeight="1" x14ac:dyDescent="0.3">
      <c r="B32" s="52"/>
      <c r="C32" s="50"/>
      <c r="D32" s="15"/>
      <c r="E32" s="15"/>
      <c r="F32" s="51"/>
      <c r="G32" s="51"/>
      <c r="H32" s="10"/>
    </row>
    <row r="33" spans="2:8" ht="20.100000000000001" customHeight="1" x14ac:dyDescent="0.3">
      <c r="B33" s="10"/>
      <c r="C33" s="10"/>
      <c r="D33" s="9"/>
      <c r="E33" s="10"/>
      <c r="F33" s="10"/>
      <c r="G33" s="10"/>
      <c r="H33" s="10"/>
    </row>
    <row r="34" spans="2:8" ht="20.100000000000001" customHeight="1" x14ac:dyDescent="0.3">
      <c r="B34" s="10"/>
      <c r="C34" s="10"/>
      <c r="D34" s="10"/>
      <c r="E34" s="10"/>
      <c r="F34" s="10"/>
      <c r="G34" s="10"/>
      <c r="H34" s="10"/>
    </row>
    <row r="35" spans="2:8" ht="20.100000000000001" customHeight="1" x14ac:dyDescent="0.3">
      <c r="B35" s="70" t="s">
        <v>19</v>
      </c>
      <c r="C35" s="70"/>
      <c r="D35" s="70"/>
      <c r="E35" s="70"/>
      <c r="F35" s="70"/>
      <c r="G35" s="70"/>
      <c r="H35" s="70"/>
    </row>
    <row r="36" spans="2:8" ht="20.100000000000001" customHeight="1" x14ac:dyDescent="0.3">
      <c r="B36" s="10"/>
      <c r="C36" s="9"/>
      <c r="D36" s="69"/>
      <c r="E36" s="69"/>
      <c r="F36" s="9"/>
      <c r="G36" s="9"/>
      <c r="H36" s="10"/>
    </row>
    <row r="37" spans="2:8" ht="20.100000000000001" customHeight="1" x14ac:dyDescent="0.3">
      <c r="B37" s="23" t="s">
        <v>2</v>
      </c>
      <c r="C37" s="24" t="s">
        <v>15</v>
      </c>
      <c r="D37" s="24" t="s">
        <v>16</v>
      </c>
      <c r="E37" s="25" t="s">
        <v>17</v>
      </c>
      <c r="F37" s="10"/>
      <c r="G37" s="10"/>
      <c r="H37" s="10"/>
    </row>
    <row r="38" spans="2:8" ht="20.100000000000001" customHeight="1" x14ac:dyDescent="0.3">
      <c r="B38" s="4"/>
      <c r="C38" s="2">
        <v>0</v>
      </c>
      <c r="D38" s="27">
        <f t="shared" ref="D38:D48" si="0">IFERROR(B$8/COUNTA(B$38:B$48),)</f>
        <v>0</v>
      </c>
      <c r="E38" s="28">
        <f>IFERROR(C38/D38,)</f>
        <v>0</v>
      </c>
      <c r="F38" s="10"/>
      <c r="G38" s="10"/>
      <c r="H38" s="10"/>
    </row>
    <row r="39" spans="2:8" ht="20.100000000000001" customHeight="1" x14ac:dyDescent="0.3">
      <c r="B39" s="4"/>
      <c r="C39" s="2">
        <v>0</v>
      </c>
      <c r="D39" s="27">
        <f t="shared" si="0"/>
        <v>0</v>
      </c>
      <c r="E39" s="28">
        <f t="shared" ref="E39:E48" si="1">IFERROR(C39/D39,)</f>
        <v>0</v>
      </c>
      <c r="F39" s="10"/>
      <c r="G39" s="10"/>
      <c r="H39" s="10"/>
    </row>
    <row r="40" spans="2:8" ht="20.100000000000001" customHeight="1" x14ac:dyDescent="0.3">
      <c r="B40" s="4"/>
      <c r="C40" s="2">
        <v>0</v>
      </c>
      <c r="D40" s="27">
        <f t="shared" si="0"/>
        <v>0</v>
      </c>
      <c r="E40" s="28">
        <f t="shared" si="1"/>
        <v>0</v>
      </c>
      <c r="F40" s="10"/>
      <c r="G40" s="10"/>
      <c r="H40" s="10"/>
    </row>
    <row r="41" spans="2:8" ht="20.100000000000001" customHeight="1" x14ac:dyDescent="0.3">
      <c r="B41" s="4"/>
      <c r="C41" s="2">
        <v>0</v>
      </c>
      <c r="D41" s="27">
        <f t="shared" si="0"/>
        <v>0</v>
      </c>
      <c r="E41" s="28">
        <f t="shared" si="1"/>
        <v>0</v>
      </c>
      <c r="F41" s="10"/>
      <c r="G41" s="10"/>
      <c r="H41" s="10"/>
    </row>
    <row r="42" spans="2:8" ht="20.100000000000001" customHeight="1" x14ac:dyDescent="0.3">
      <c r="B42" s="4"/>
      <c r="C42" s="2">
        <v>0</v>
      </c>
      <c r="D42" s="27">
        <f t="shared" si="0"/>
        <v>0</v>
      </c>
      <c r="E42" s="28">
        <f t="shared" si="1"/>
        <v>0</v>
      </c>
      <c r="F42" s="10"/>
      <c r="G42" s="10"/>
      <c r="H42" s="10"/>
    </row>
    <row r="43" spans="2:8" ht="20.100000000000001" customHeight="1" x14ac:dyDescent="0.3">
      <c r="B43" s="5"/>
      <c r="C43" s="2">
        <v>0</v>
      </c>
      <c r="D43" s="27">
        <f t="shared" si="0"/>
        <v>0</v>
      </c>
      <c r="E43" s="28">
        <f t="shared" si="1"/>
        <v>0</v>
      </c>
      <c r="F43" s="10"/>
      <c r="G43" s="10"/>
      <c r="H43" s="10"/>
    </row>
    <row r="44" spans="2:8" ht="20.100000000000001" customHeight="1" x14ac:dyDescent="0.3">
      <c r="B44" s="5"/>
      <c r="C44" s="2">
        <v>0</v>
      </c>
      <c r="D44" s="27">
        <f t="shared" si="0"/>
        <v>0</v>
      </c>
      <c r="E44" s="28">
        <f t="shared" si="1"/>
        <v>0</v>
      </c>
      <c r="F44" s="10"/>
      <c r="G44" s="10"/>
      <c r="H44" s="10"/>
    </row>
    <row r="45" spans="2:8" ht="20.100000000000001" customHeight="1" x14ac:dyDescent="0.3">
      <c r="B45" s="5"/>
      <c r="C45" s="2">
        <v>0</v>
      </c>
      <c r="D45" s="27">
        <f t="shared" si="0"/>
        <v>0</v>
      </c>
      <c r="E45" s="28">
        <f t="shared" si="1"/>
        <v>0</v>
      </c>
      <c r="F45" s="10"/>
      <c r="G45" s="10"/>
      <c r="H45" s="10"/>
    </row>
    <row r="46" spans="2:8" ht="20.100000000000001" customHeight="1" x14ac:dyDescent="0.3">
      <c r="B46" s="5"/>
      <c r="C46" s="2">
        <v>0</v>
      </c>
      <c r="D46" s="27">
        <f t="shared" si="0"/>
        <v>0</v>
      </c>
      <c r="E46" s="28">
        <f t="shared" si="1"/>
        <v>0</v>
      </c>
      <c r="F46" s="10"/>
      <c r="G46" s="10"/>
      <c r="H46" s="10"/>
    </row>
    <row r="47" spans="2:8" ht="20.100000000000001" customHeight="1" x14ac:dyDescent="0.3">
      <c r="B47" s="5"/>
      <c r="C47" s="2">
        <v>0</v>
      </c>
      <c r="D47" s="27">
        <f t="shared" si="0"/>
        <v>0</v>
      </c>
      <c r="E47" s="28">
        <f t="shared" si="1"/>
        <v>0</v>
      </c>
      <c r="F47" s="10"/>
      <c r="G47" s="10"/>
      <c r="H47" s="10"/>
    </row>
    <row r="48" spans="2:8" ht="20.100000000000001" customHeight="1" x14ac:dyDescent="0.3">
      <c r="B48" s="5"/>
      <c r="C48" s="27">
        <v>0</v>
      </c>
      <c r="D48" s="27">
        <f t="shared" si="0"/>
        <v>0</v>
      </c>
      <c r="E48" s="28">
        <f t="shared" si="1"/>
        <v>0</v>
      </c>
      <c r="F48" s="10"/>
      <c r="G48" s="10"/>
      <c r="H48" s="10"/>
    </row>
    <row r="49" spans="2:8" ht="20.100000000000001" customHeight="1" x14ac:dyDescent="0.3">
      <c r="B49" s="10"/>
      <c r="C49" s="10"/>
      <c r="D49" s="9"/>
      <c r="E49" s="9"/>
      <c r="F49" s="9"/>
      <c r="G49" s="9"/>
      <c r="H49" s="9"/>
    </row>
    <row r="50" spans="2:8" ht="20.100000000000001" customHeight="1" x14ac:dyDescent="0.3">
      <c r="B50" s="10"/>
      <c r="C50" s="10"/>
      <c r="D50" s="10"/>
      <c r="E50" s="10"/>
      <c r="F50" s="10"/>
      <c r="G50" s="10"/>
      <c r="H50" s="10"/>
    </row>
    <row r="51" spans="2:8" ht="20.100000000000001" customHeight="1" x14ac:dyDescent="0.3">
      <c r="B51" s="10"/>
      <c r="C51" s="10"/>
      <c r="D51" s="10"/>
      <c r="E51" s="10"/>
      <c r="F51" s="10"/>
      <c r="G51" s="10"/>
      <c r="H51" s="10"/>
    </row>
    <row r="52" spans="2:8" ht="20.100000000000001" customHeight="1" thickBot="1" x14ac:dyDescent="0.35">
      <c r="B52" s="65" t="s">
        <v>18</v>
      </c>
      <c r="C52" s="65"/>
      <c r="D52" s="65"/>
      <c r="E52" s="65"/>
      <c r="F52" s="65"/>
      <c r="G52" s="65"/>
      <c r="H52" s="65"/>
    </row>
    <row r="53" spans="2:8" ht="20.100000000000001" customHeight="1" x14ac:dyDescent="0.3">
      <c r="B53" s="66"/>
      <c r="C53" s="67"/>
      <c r="D53" s="67"/>
      <c r="E53" s="67"/>
      <c r="F53" s="67"/>
      <c r="G53" s="67"/>
      <c r="H53" s="68"/>
    </row>
    <row r="54" spans="2:8" ht="20.100000000000001" customHeight="1" x14ac:dyDescent="0.3">
      <c r="B54" s="59"/>
      <c r="C54" s="60"/>
      <c r="D54" s="60"/>
      <c r="E54" s="60"/>
      <c r="F54" s="60"/>
      <c r="G54" s="60"/>
      <c r="H54" s="61"/>
    </row>
    <row r="55" spans="2:8" ht="20.100000000000001" customHeight="1" x14ac:dyDescent="0.3">
      <c r="B55" s="59"/>
      <c r="C55" s="60"/>
      <c r="D55" s="60"/>
      <c r="E55" s="60"/>
      <c r="F55" s="60"/>
      <c r="G55" s="60"/>
      <c r="H55" s="61"/>
    </row>
    <row r="56" spans="2:8" ht="20.100000000000001" customHeight="1" x14ac:dyDescent="0.3">
      <c r="B56" s="59"/>
      <c r="C56" s="60"/>
      <c r="D56" s="60"/>
      <c r="E56" s="60"/>
      <c r="F56" s="60"/>
      <c r="G56" s="60"/>
      <c r="H56" s="61"/>
    </row>
    <row r="57" spans="2:8" ht="20.100000000000001" customHeight="1" x14ac:dyDescent="0.3">
      <c r="B57" s="59"/>
      <c r="C57" s="60"/>
      <c r="D57" s="60"/>
      <c r="E57" s="60"/>
      <c r="F57" s="60"/>
      <c r="G57" s="60"/>
      <c r="H57" s="61"/>
    </row>
    <row r="58" spans="2:8" ht="20.100000000000001" customHeight="1" x14ac:dyDescent="0.3">
      <c r="B58" s="59"/>
      <c r="C58" s="60"/>
      <c r="D58" s="60"/>
      <c r="E58" s="60"/>
      <c r="F58" s="60"/>
      <c r="G58" s="60"/>
      <c r="H58" s="61"/>
    </row>
    <row r="59" spans="2:8" ht="20.100000000000001" customHeight="1" x14ac:dyDescent="0.3">
      <c r="B59" s="59"/>
      <c r="C59" s="60"/>
      <c r="D59" s="60"/>
      <c r="E59" s="60"/>
      <c r="F59" s="60"/>
      <c r="G59" s="60"/>
      <c r="H59" s="61"/>
    </row>
    <row r="60" spans="2:8" ht="20.100000000000001" customHeight="1" thickBot="1" x14ac:dyDescent="0.35">
      <c r="B60" s="62"/>
      <c r="C60" s="63"/>
      <c r="D60" s="63"/>
      <c r="E60" s="63"/>
      <c r="F60" s="63"/>
      <c r="G60" s="63"/>
      <c r="H60" s="64"/>
    </row>
  </sheetData>
  <customSheetViews>
    <customSheetView guid="{91FC1D6D-2858-4BF4-8492-636C26784E78}" scale="85" printArea="1" hiddenColumns="1">
      <selection activeCell="C3" sqref="C3"/>
      <pageMargins left="0.75000000000000011" right="0" top="1" bottom="1" header="0.5" footer="0.5"/>
      <pageSetup paperSize="9" scale="62" orientation="portrait" horizontalDpi="4294967292" verticalDpi="4294967292" r:id="rId1"/>
      <headerFooter>
        <oddHeader>&amp;L&amp;"Calibri,Regular"&amp;K000000Mayor Pub&amp;R&amp;"Calibri,Regular"&amp;K000000&amp;F</oddHeader>
        <oddFooter>&amp;L&amp;"Helvetica Neue,Regular"&amp;6&amp;K7F7F7FCopyright © 2015 by &amp;"Helvetica Neue,Bold"i manage&amp;"Helvetica,Regular"&amp;12&amp;K000000</oddFooter>
      </headerFooter>
    </customSheetView>
  </customSheetViews>
  <mergeCells count="13">
    <mergeCell ref="B35:H35"/>
    <mergeCell ref="B6:H6"/>
    <mergeCell ref="E25:E27"/>
    <mergeCell ref="B57:H57"/>
    <mergeCell ref="B58:H58"/>
    <mergeCell ref="B59:H59"/>
    <mergeCell ref="B60:H60"/>
    <mergeCell ref="B52:H52"/>
    <mergeCell ref="B53:H53"/>
    <mergeCell ref="D36:E36"/>
    <mergeCell ref="B54:H54"/>
    <mergeCell ref="B55:H55"/>
    <mergeCell ref="B56:H56"/>
  </mergeCells>
  <phoneticPr fontId="5" type="noConversion"/>
  <conditionalFormatting sqref="C8">
    <cfRule type="cellIs" dxfId="8" priority="3" operator="lessThan">
      <formula>1</formula>
    </cfRule>
  </conditionalFormatting>
  <conditionalFormatting sqref="C20">
    <cfRule type="cellIs" dxfId="7" priority="2" operator="lessThan">
      <formula>28000</formula>
    </cfRule>
  </conditionalFormatting>
  <conditionalFormatting sqref="E38:E48">
    <cfRule type="cellIs" dxfId="6" priority="1" operator="lessThan">
      <formula>1</formula>
    </cfRule>
  </conditionalFormatting>
  <dataValidations disablePrompts="1" count="2">
    <dataValidation type="list" allowBlank="1" showInputMessage="1" showErrorMessage="1" sqref="C4" xr:uid="{00000000-0002-0000-0000-000000000000}">
      <formula1>$K$16:$K$21</formula1>
    </dataValidation>
    <dataValidation type="list" errorStyle="warning" allowBlank="1" showInputMessage="1" showErrorMessage="1" sqref="C3" xr:uid="{00000000-0002-0000-0000-000001000000}">
      <formula1>$J$16:$J$24</formula1>
    </dataValidation>
  </dataValidations>
  <pageMargins left="0.75000000000000011" right="0" top="1" bottom="1" header="0.5" footer="0.5"/>
  <pageSetup paperSize="9" scale="62" orientation="portrait" horizontalDpi="4294967292" verticalDpi="4294967292" r:id="rId2"/>
  <headerFooter>
    <oddHeader>&amp;L&amp;"Calibri,Regular"&amp;K000000Mayor Pub&amp;R&amp;"Calibri,Regular"&amp;K000000&amp;F</oddHeader>
    <oddFooter>&amp;L&amp;"Helvetica Neue,Regular"&amp;6&amp;K7F7F7FCopyright © 2015 by &amp;"Helvetica Neue,Bold"i manage&amp;"Helvetica,Regular"&amp;12&amp;K000000</oddFooter>
  </headerFooter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3583-B35C-4544-BD76-2921EF78DA43}">
  <sheetPr codeName="Sheet2"/>
  <dimension ref="B1:K60"/>
  <sheetViews>
    <sheetView showGridLines="0" zoomScale="80" zoomScaleNormal="80" zoomScalePageLayoutView="85" workbookViewId="0">
      <selection activeCell="G4" sqref="G4"/>
    </sheetView>
  </sheetViews>
  <sheetFormatPr defaultColWidth="10.8984375" defaultRowHeight="15.6" x14ac:dyDescent="0.3"/>
  <cols>
    <col min="1" max="1" width="4.5" style="12" customWidth="1"/>
    <col min="2" max="2" width="24" style="12" bestFit="1" customWidth="1"/>
    <col min="3" max="3" width="16.8984375" style="12" customWidth="1"/>
    <col min="4" max="4" width="15.59765625" style="12" customWidth="1"/>
    <col min="5" max="5" width="15.59765625" style="12" bestFit="1" customWidth="1"/>
    <col min="6" max="6" width="13.59765625" style="12" customWidth="1"/>
    <col min="7" max="7" width="17.09765625" style="12" customWidth="1"/>
    <col min="8" max="8" width="15.59765625" style="12" bestFit="1" customWidth="1"/>
    <col min="9" max="9" width="10.8984375" style="12" customWidth="1"/>
    <col min="10" max="11" width="10.8984375" style="12" hidden="1" customWidth="1"/>
    <col min="12" max="13" width="10.8984375" style="12" customWidth="1"/>
    <col min="14" max="16384" width="10.8984375" style="12"/>
  </cols>
  <sheetData>
    <row r="1" spans="2:11" ht="20.100000000000001" customHeight="1" thickBot="1" x14ac:dyDescent="0.35">
      <c r="B1" s="57"/>
      <c r="C1" s="57"/>
      <c r="D1" s="57"/>
      <c r="E1" s="57"/>
      <c r="F1" s="57"/>
      <c r="G1" s="57"/>
      <c r="H1" s="57"/>
    </row>
    <row r="2" spans="2:11" ht="20.100000000000001" customHeight="1" thickTop="1" thickBot="1" x14ac:dyDescent="0.35">
      <c r="B2" s="10"/>
      <c r="C2" s="10"/>
      <c r="D2" s="10"/>
      <c r="E2" s="10"/>
      <c r="F2" s="10"/>
      <c r="G2" s="8" t="s">
        <v>38</v>
      </c>
      <c r="H2" s="58">
        <f>C18-C25</f>
        <v>20900000</v>
      </c>
    </row>
    <row r="3" spans="2:11" ht="20.100000000000001" customHeight="1" x14ac:dyDescent="0.3">
      <c r="B3" s="33" t="s">
        <v>35</v>
      </c>
      <c r="C3" s="34" t="s">
        <v>32</v>
      </c>
      <c r="D3" s="34">
        <v>2021</v>
      </c>
      <c r="E3" s="35"/>
      <c r="F3" s="35" t="s">
        <v>20</v>
      </c>
      <c r="G3" s="36">
        <f>'1'!G3+'2'!H2</f>
        <v>34400000</v>
      </c>
      <c r="H3" s="37"/>
    </row>
    <row r="4" spans="2:11" ht="20.100000000000001" customHeight="1" x14ac:dyDescent="0.3">
      <c r="B4" s="38" t="s">
        <v>12</v>
      </c>
      <c r="C4" s="6" t="s">
        <v>24</v>
      </c>
      <c r="D4" s="7" t="s">
        <v>36</v>
      </c>
      <c r="E4" s="39"/>
      <c r="F4" s="39" t="s">
        <v>42</v>
      </c>
      <c r="G4" s="40">
        <f>C25</f>
        <v>0</v>
      </c>
      <c r="H4" s="41"/>
    </row>
    <row r="5" spans="2:11" ht="20.100000000000001" customHeight="1" thickBot="1" x14ac:dyDescent="0.35">
      <c r="B5" s="42"/>
      <c r="C5" s="43"/>
      <c r="D5" s="43"/>
      <c r="E5" s="43"/>
      <c r="F5" s="43" t="s">
        <v>43</v>
      </c>
      <c r="G5" s="44">
        <f>G3-G4</f>
        <v>34400000</v>
      </c>
      <c r="H5" s="45"/>
    </row>
    <row r="6" spans="2:11" ht="20.100000000000001" customHeight="1" x14ac:dyDescent="0.3">
      <c r="B6" s="70"/>
      <c r="C6" s="70"/>
      <c r="D6" s="70"/>
      <c r="E6" s="70"/>
      <c r="F6" s="70"/>
      <c r="G6" s="70"/>
      <c r="H6" s="70"/>
    </row>
    <row r="7" spans="2:11" ht="20.100000000000001" customHeight="1" thickBot="1" x14ac:dyDescent="0.35">
      <c r="B7" s="13" t="s">
        <v>4</v>
      </c>
      <c r="C7" s="13" t="s">
        <v>3</v>
      </c>
      <c r="D7" s="10"/>
      <c r="E7" s="10"/>
      <c r="F7" s="10"/>
      <c r="G7" s="10"/>
      <c r="H7" s="10"/>
    </row>
    <row r="8" spans="2:11" ht="20.100000000000001" customHeight="1" thickTop="1" thickBot="1" x14ac:dyDescent="0.35">
      <c r="B8" s="3">
        <v>12000000</v>
      </c>
      <c r="C8" s="26">
        <f>IFERROR($D$18/B8,0)</f>
        <v>0</v>
      </c>
      <c r="D8" s="13"/>
      <c r="E8" s="10"/>
      <c r="F8" s="10"/>
      <c r="G8" s="10"/>
      <c r="H8" s="10"/>
    </row>
    <row r="9" spans="2:11" ht="20.100000000000001" customHeight="1" thickTop="1" thickBot="1" x14ac:dyDescent="0.35">
      <c r="B9" s="13"/>
      <c r="C9" s="13"/>
      <c r="D9" s="13"/>
      <c r="E9" s="10"/>
      <c r="F9" s="10"/>
      <c r="G9" s="11"/>
      <c r="H9" s="11"/>
    </row>
    <row r="10" spans="2:11" ht="20.100000000000001" customHeight="1" thickTop="1" thickBot="1" x14ac:dyDescent="0.35">
      <c r="B10" s="8" t="s">
        <v>8</v>
      </c>
      <c r="C10" s="31">
        <v>150</v>
      </c>
      <c r="D10" s="13"/>
      <c r="E10" s="10"/>
      <c r="F10" s="10"/>
      <c r="G10" s="11"/>
      <c r="H10" s="11"/>
    </row>
    <row r="11" spans="2:11" ht="20.100000000000001" customHeight="1" thickTop="1" x14ac:dyDescent="0.3">
      <c r="B11" s="13"/>
      <c r="C11" s="13"/>
      <c r="D11" s="13"/>
      <c r="E11" s="10"/>
      <c r="F11" s="10"/>
      <c r="G11" s="11"/>
      <c r="H11" s="11"/>
    </row>
    <row r="12" spans="2:11" ht="20.100000000000001" customHeight="1" x14ac:dyDescent="0.3">
      <c r="B12" s="13" t="s">
        <v>13</v>
      </c>
      <c r="C12" s="14" t="s">
        <v>10</v>
      </c>
      <c r="D12" s="46"/>
      <c r="E12" s="13"/>
      <c r="F12" s="10"/>
      <c r="G12" s="10"/>
      <c r="H12" s="11"/>
    </row>
    <row r="13" spans="2:11" ht="20.100000000000001" customHeight="1" x14ac:dyDescent="0.3">
      <c r="B13" s="5" t="s">
        <v>39</v>
      </c>
      <c r="C13" s="1">
        <v>6000000</v>
      </c>
      <c r="D13" s="46"/>
      <c r="E13" s="12" t="str" cm="1">
        <f t="array" ref="E13:F17">_xlfn._xlws.SORT(SalesTable,2,1,FALSE)</f>
        <v>Bangalows</v>
      </c>
      <c r="F13" s="12">
        <v>400000</v>
      </c>
      <c r="G13" s="10"/>
      <c r="H13" s="11"/>
    </row>
    <row r="14" spans="2:11" ht="20.100000000000001" customHeight="1" x14ac:dyDescent="0.3">
      <c r="B14" s="5" t="s">
        <v>40</v>
      </c>
      <c r="C14" s="1">
        <v>400000</v>
      </c>
      <c r="D14" s="46"/>
      <c r="E14" s="12" t="str">
        <v>Jacuzzi</v>
      </c>
      <c r="F14" s="12">
        <v>500000</v>
      </c>
      <c r="G14" s="10"/>
      <c r="H14" s="11"/>
    </row>
    <row r="15" spans="2:11" ht="20.100000000000001" customHeight="1" x14ac:dyDescent="0.3">
      <c r="B15" s="5" t="s">
        <v>41</v>
      </c>
      <c r="C15" s="1">
        <v>500000</v>
      </c>
      <c r="D15" s="46"/>
      <c r="E15" s="12" t="str">
        <v>Entrance</v>
      </c>
      <c r="F15" s="12">
        <v>6000000</v>
      </c>
      <c r="G15" s="10"/>
      <c r="H15" s="11"/>
    </row>
    <row r="16" spans="2:11" ht="20.100000000000001" customHeight="1" x14ac:dyDescent="0.3">
      <c r="B16" s="5" t="s">
        <v>0</v>
      </c>
      <c r="C16" s="1">
        <v>6000000</v>
      </c>
      <c r="D16" s="46"/>
      <c r="E16" s="12" t="str">
        <v>Food</v>
      </c>
      <c r="F16" s="12">
        <v>6000000</v>
      </c>
      <c r="G16" s="10"/>
      <c r="H16" s="11"/>
      <c r="J16" s="12" t="s">
        <v>28</v>
      </c>
      <c r="K16" s="12" t="s">
        <v>22</v>
      </c>
    </row>
    <row r="17" spans="2:11" ht="20.100000000000001" customHeight="1" x14ac:dyDescent="0.3">
      <c r="B17" s="5" t="s">
        <v>1</v>
      </c>
      <c r="C17" s="1">
        <v>8000000</v>
      </c>
      <c r="D17" s="46"/>
      <c r="E17" s="12" t="str">
        <v>Beverage</v>
      </c>
      <c r="F17" s="12">
        <v>8000000</v>
      </c>
      <c r="G17" s="10"/>
      <c r="H17" s="11"/>
      <c r="J17" s="12" t="s">
        <v>29</v>
      </c>
      <c r="K17" s="12" t="s">
        <v>23</v>
      </c>
    </row>
    <row r="18" spans="2:11" ht="20.100000000000001" customHeight="1" thickBot="1" x14ac:dyDescent="0.35">
      <c r="B18" s="8" t="s">
        <v>11</v>
      </c>
      <c r="C18" s="47">
        <f>SUM(C13:C17)</f>
        <v>20900000</v>
      </c>
      <c r="D18" s="46"/>
      <c r="E18" s="11"/>
      <c r="F18" s="10"/>
      <c r="G18" s="10"/>
      <c r="H18" s="11"/>
      <c r="J18" s="12" t="s">
        <v>21</v>
      </c>
      <c r="K18" s="12" t="s">
        <v>24</v>
      </c>
    </row>
    <row r="19" spans="2:11" ht="20.100000000000001" customHeight="1" thickTop="1" x14ac:dyDescent="0.3">
      <c r="B19" s="15"/>
      <c r="C19" s="16"/>
      <c r="D19" s="16"/>
      <c r="E19" s="10"/>
      <c r="F19" s="10"/>
      <c r="G19" s="10"/>
      <c r="H19" s="10"/>
      <c r="J19" s="12" t="s">
        <v>30</v>
      </c>
      <c r="K19" s="12" t="s">
        <v>25</v>
      </c>
    </row>
    <row r="20" spans="2:11" ht="20.100000000000001" customHeight="1" thickBot="1" x14ac:dyDescent="0.35">
      <c r="B20" s="8" t="s">
        <v>9</v>
      </c>
      <c r="C20" s="47">
        <f>IFERROR(C18/C10,"")</f>
        <v>139333.33333333334</v>
      </c>
      <c r="D20" s="16"/>
      <c r="E20" s="10"/>
      <c r="F20" s="10"/>
      <c r="G20" s="10"/>
      <c r="H20" s="10"/>
      <c r="J20" s="12" t="s">
        <v>31</v>
      </c>
      <c r="K20" s="12" t="s">
        <v>26</v>
      </c>
    </row>
    <row r="21" spans="2:11" ht="20.100000000000001" customHeight="1" thickTop="1" x14ac:dyDescent="0.3">
      <c r="B21" s="8"/>
      <c r="C21" s="16"/>
      <c r="D21" s="16"/>
      <c r="E21" s="10"/>
      <c r="F21" s="10"/>
      <c r="G21" s="10"/>
      <c r="H21" s="10"/>
      <c r="J21" s="12" t="s">
        <v>32</v>
      </c>
      <c r="K21" s="12" t="s">
        <v>27</v>
      </c>
    </row>
    <row r="22" spans="2:11" ht="20.100000000000001" customHeight="1" thickBot="1" x14ac:dyDescent="0.35">
      <c r="B22" s="15" t="s">
        <v>14</v>
      </c>
      <c r="C22" s="15" t="s">
        <v>7</v>
      </c>
      <c r="D22" s="10"/>
      <c r="E22" s="10"/>
      <c r="F22" s="10"/>
      <c r="G22" s="10"/>
      <c r="H22" s="10"/>
      <c r="J22" s="12" t="s">
        <v>33</v>
      </c>
    </row>
    <row r="23" spans="2:11" ht="20.100000000000001" customHeight="1" x14ac:dyDescent="0.3">
      <c r="B23" s="17"/>
      <c r="C23" s="30">
        <v>0</v>
      </c>
      <c r="D23" s="15"/>
      <c r="E23" s="15"/>
      <c r="F23" s="15"/>
      <c r="G23" s="10"/>
      <c r="H23" s="10"/>
      <c r="J23" s="12" t="s">
        <v>34</v>
      </c>
    </row>
    <row r="24" spans="2:11" ht="20.100000000000001" customHeight="1" thickBot="1" x14ac:dyDescent="0.35">
      <c r="B24" s="53"/>
      <c r="C24" s="55">
        <v>0</v>
      </c>
      <c r="D24" s="10"/>
      <c r="E24" s="18"/>
      <c r="F24" s="18"/>
      <c r="G24" s="10"/>
      <c r="H24" s="10"/>
      <c r="J24" s="12" t="s">
        <v>37</v>
      </c>
    </row>
    <row r="25" spans="2:11" ht="20.100000000000001" customHeight="1" thickBot="1" x14ac:dyDescent="0.35">
      <c r="B25" s="19"/>
      <c r="C25" s="54">
        <f>SUM(C23:C24)</f>
        <v>0</v>
      </c>
      <c r="D25" s="10"/>
      <c r="E25" s="71"/>
      <c r="F25" s="29"/>
      <c r="G25" s="10"/>
      <c r="H25" s="10"/>
    </row>
    <row r="26" spans="2:11" ht="20.100000000000001" customHeight="1" thickTop="1" x14ac:dyDescent="0.3">
      <c r="B26" s="19"/>
      <c r="C26" s="56"/>
      <c r="D26" s="10"/>
      <c r="E26" s="71"/>
      <c r="F26" s="29"/>
      <c r="G26" s="10"/>
      <c r="H26" s="10"/>
    </row>
    <row r="27" spans="2:11" ht="20.100000000000001" customHeight="1" thickBot="1" x14ac:dyDescent="0.35">
      <c r="B27" s="20"/>
      <c r="C27" s="20"/>
      <c r="D27" s="10"/>
      <c r="E27" s="71"/>
      <c r="F27" s="29"/>
      <c r="G27" s="10"/>
      <c r="H27" s="10"/>
    </row>
    <row r="28" spans="2:11" ht="20.100000000000001" customHeight="1" thickBot="1" x14ac:dyDescent="0.35">
      <c r="B28" s="10"/>
      <c r="C28" s="32" t="s">
        <v>44</v>
      </c>
      <c r="D28" s="10"/>
      <c r="E28" s="10"/>
      <c r="F28" s="10"/>
      <c r="G28" s="10"/>
      <c r="H28" s="10"/>
    </row>
    <row r="29" spans="2:11" ht="20.100000000000001" customHeight="1" x14ac:dyDescent="0.3">
      <c r="B29" s="21" t="s">
        <v>5</v>
      </c>
      <c r="C29" s="48">
        <v>50</v>
      </c>
      <c r="D29" s="10"/>
      <c r="E29" s="10"/>
      <c r="F29" s="51"/>
      <c r="G29" s="51"/>
      <c r="H29" s="10"/>
    </row>
    <row r="30" spans="2:11" ht="20.100000000000001" customHeight="1" x14ac:dyDescent="0.3">
      <c r="B30" s="22" t="s">
        <v>6</v>
      </c>
      <c r="C30" s="49">
        <v>100</v>
      </c>
      <c r="D30" s="15"/>
      <c r="E30" s="15"/>
      <c r="F30" s="51"/>
      <c r="G30" s="51"/>
      <c r="H30" s="10"/>
    </row>
    <row r="31" spans="2:11" ht="20.100000000000001" customHeight="1" x14ac:dyDescent="0.3">
      <c r="B31" s="52"/>
      <c r="C31" s="50"/>
      <c r="D31" s="15"/>
      <c r="E31" s="15"/>
      <c r="F31" s="51"/>
      <c r="G31" s="51"/>
      <c r="H31" s="10"/>
    </row>
    <row r="32" spans="2:11" ht="20.100000000000001" customHeight="1" x14ac:dyDescent="0.3">
      <c r="B32" s="52"/>
      <c r="C32" s="50"/>
      <c r="D32" s="15"/>
      <c r="E32" s="15"/>
      <c r="F32" s="51"/>
      <c r="G32" s="51"/>
      <c r="H32" s="10"/>
    </row>
    <row r="33" spans="2:8" ht="20.100000000000001" customHeight="1" x14ac:dyDescent="0.3">
      <c r="B33" s="10"/>
      <c r="C33" s="10"/>
      <c r="D33" s="9"/>
      <c r="E33" s="10"/>
      <c r="F33" s="10"/>
      <c r="G33" s="10"/>
      <c r="H33" s="10"/>
    </row>
    <row r="34" spans="2:8" ht="20.100000000000001" customHeight="1" x14ac:dyDescent="0.3">
      <c r="B34" s="10"/>
      <c r="C34" s="10"/>
      <c r="D34" s="10"/>
      <c r="E34" s="10"/>
      <c r="F34" s="10"/>
      <c r="G34" s="10"/>
      <c r="H34" s="10"/>
    </row>
    <row r="35" spans="2:8" ht="20.100000000000001" customHeight="1" x14ac:dyDescent="0.3">
      <c r="B35" s="70" t="s">
        <v>19</v>
      </c>
      <c r="C35" s="70"/>
      <c r="D35" s="70"/>
      <c r="E35" s="70"/>
      <c r="F35" s="70"/>
      <c r="G35" s="70"/>
      <c r="H35" s="70"/>
    </row>
    <row r="36" spans="2:8" ht="20.100000000000001" customHeight="1" x14ac:dyDescent="0.3">
      <c r="B36" s="10"/>
      <c r="C36" s="9"/>
      <c r="D36" s="69"/>
      <c r="E36" s="69"/>
      <c r="F36" s="9"/>
      <c r="G36" s="9"/>
      <c r="H36" s="10"/>
    </row>
    <row r="37" spans="2:8" ht="20.100000000000001" customHeight="1" x14ac:dyDescent="0.3">
      <c r="B37" s="23" t="s">
        <v>2</v>
      </c>
      <c r="C37" s="24" t="s">
        <v>15</v>
      </c>
      <c r="D37" s="24" t="s">
        <v>16</v>
      </c>
      <c r="E37" s="25" t="s">
        <v>17</v>
      </c>
      <c r="F37" s="10"/>
      <c r="G37" s="10"/>
      <c r="H37" s="10"/>
    </row>
    <row r="38" spans="2:8" ht="20.100000000000001" customHeight="1" x14ac:dyDescent="0.3">
      <c r="B38" s="4"/>
      <c r="C38" s="2">
        <v>0</v>
      </c>
      <c r="D38" s="27">
        <f t="shared" ref="D38:D48" si="0">IFERROR(B$8/COUNTA(B$38:B$48),)</f>
        <v>0</v>
      </c>
      <c r="E38" s="28">
        <f>IFERROR(C38/D38,)</f>
        <v>0</v>
      </c>
      <c r="F38" s="10"/>
      <c r="G38" s="10"/>
      <c r="H38" s="10"/>
    </row>
    <row r="39" spans="2:8" ht="20.100000000000001" customHeight="1" x14ac:dyDescent="0.3">
      <c r="B39" s="4"/>
      <c r="C39" s="2">
        <v>0</v>
      </c>
      <c r="D39" s="27">
        <f t="shared" si="0"/>
        <v>0</v>
      </c>
      <c r="E39" s="28">
        <f t="shared" ref="E39:E48" si="1">IFERROR(C39/D39,)</f>
        <v>0</v>
      </c>
      <c r="F39" s="10"/>
      <c r="G39" s="10"/>
      <c r="H39" s="10"/>
    </row>
    <row r="40" spans="2:8" ht="20.100000000000001" customHeight="1" x14ac:dyDescent="0.3">
      <c r="B40" s="4"/>
      <c r="C40" s="2">
        <v>0</v>
      </c>
      <c r="D40" s="27">
        <f t="shared" si="0"/>
        <v>0</v>
      </c>
      <c r="E40" s="28">
        <f t="shared" si="1"/>
        <v>0</v>
      </c>
      <c r="F40" s="10"/>
      <c r="G40" s="10"/>
      <c r="H40" s="10"/>
    </row>
    <row r="41" spans="2:8" ht="20.100000000000001" customHeight="1" x14ac:dyDescent="0.3">
      <c r="B41" s="4"/>
      <c r="C41" s="2">
        <v>0</v>
      </c>
      <c r="D41" s="27">
        <f t="shared" si="0"/>
        <v>0</v>
      </c>
      <c r="E41" s="28">
        <f t="shared" si="1"/>
        <v>0</v>
      </c>
      <c r="F41" s="10"/>
      <c r="G41" s="10"/>
      <c r="H41" s="10"/>
    </row>
    <row r="42" spans="2:8" ht="20.100000000000001" customHeight="1" x14ac:dyDescent="0.3">
      <c r="B42" s="4"/>
      <c r="C42" s="2">
        <v>0</v>
      </c>
      <c r="D42" s="27">
        <f t="shared" si="0"/>
        <v>0</v>
      </c>
      <c r="E42" s="28">
        <f t="shared" si="1"/>
        <v>0</v>
      </c>
      <c r="F42" s="10"/>
      <c r="G42" s="10"/>
      <c r="H42" s="10"/>
    </row>
    <row r="43" spans="2:8" ht="20.100000000000001" customHeight="1" x14ac:dyDescent="0.3">
      <c r="B43" s="5"/>
      <c r="C43" s="2">
        <v>0</v>
      </c>
      <c r="D43" s="27">
        <f t="shared" si="0"/>
        <v>0</v>
      </c>
      <c r="E43" s="28">
        <f t="shared" si="1"/>
        <v>0</v>
      </c>
      <c r="F43" s="10"/>
      <c r="G43" s="10"/>
      <c r="H43" s="10"/>
    </row>
    <row r="44" spans="2:8" ht="20.100000000000001" customHeight="1" x14ac:dyDescent="0.3">
      <c r="B44" s="5"/>
      <c r="C44" s="2">
        <v>0</v>
      </c>
      <c r="D44" s="27">
        <f t="shared" si="0"/>
        <v>0</v>
      </c>
      <c r="E44" s="28">
        <f t="shared" si="1"/>
        <v>0</v>
      </c>
      <c r="F44" s="10"/>
      <c r="G44" s="10"/>
      <c r="H44" s="10"/>
    </row>
    <row r="45" spans="2:8" ht="20.100000000000001" customHeight="1" x14ac:dyDescent="0.3">
      <c r="B45" s="5"/>
      <c r="C45" s="2">
        <v>0</v>
      </c>
      <c r="D45" s="27">
        <f t="shared" si="0"/>
        <v>0</v>
      </c>
      <c r="E45" s="28">
        <f t="shared" si="1"/>
        <v>0</v>
      </c>
      <c r="F45" s="10"/>
      <c r="G45" s="10"/>
      <c r="H45" s="10"/>
    </row>
    <row r="46" spans="2:8" ht="20.100000000000001" customHeight="1" x14ac:dyDescent="0.3">
      <c r="B46" s="5"/>
      <c r="C46" s="2">
        <v>0</v>
      </c>
      <c r="D46" s="27">
        <f t="shared" si="0"/>
        <v>0</v>
      </c>
      <c r="E46" s="28">
        <f t="shared" si="1"/>
        <v>0</v>
      </c>
      <c r="F46" s="10"/>
      <c r="G46" s="10"/>
      <c r="H46" s="10"/>
    </row>
    <row r="47" spans="2:8" ht="20.100000000000001" customHeight="1" x14ac:dyDescent="0.3">
      <c r="B47" s="5"/>
      <c r="C47" s="2">
        <v>0</v>
      </c>
      <c r="D47" s="27">
        <f t="shared" si="0"/>
        <v>0</v>
      </c>
      <c r="E47" s="28">
        <f t="shared" si="1"/>
        <v>0</v>
      </c>
      <c r="F47" s="10"/>
      <c r="G47" s="10"/>
      <c r="H47" s="10"/>
    </row>
    <row r="48" spans="2:8" ht="20.100000000000001" customHeight="1" x14ac:dyDescent="0.3">
      <c r="B48" s="5"/>
      <c r="C48" s="27">
        <v>0</v>
      </c>
      <c r="D48" s="27">
        <f t="shared" si="0"/>
        <v>0</v>
      </c>
      <c r="E48" s="28">
        <f t="shared" si="1"/>
        <v>0</v>
      </c>
      <c r="F48" s="10"/>
      <c r="G48" s="10"/>
      <c r="H48" s="10"/>
    </row>
    <row r="49" spans="2:8" ht="20.100000000000001" customHeight="1" x14ac:dyDescent="0.3">
      <c r="B49" s="10"/>
      <c r="C49" s="10"/>
      <c r="D49" s="9"/>
      <c r="E49" s="9"/>
      <c r="F49" s="9"/>
      <c r="G49" s="9"/>
      <c r="H49" s="9"/>
    </row>
    <row r="50" spans="2:8" ht="20.100000000000001" customHeight="1" x14ac:dyDescent="0.3">
      <c r="B50" s="10"/>
      <c r="C50" s="10"/>
      <c r="D50" s="10"/>
      <c r="E50" s="10"/>
      <c r="F50" s="10"/>
      <c r="G50" s="10"/>
      <c r="H50" s="10"/>
    </row>
    <row r="51" spans="2:8" ht="20.100000000000001" customHeight="1" x14ac:dyDescent="0.3">
      <c r="B51" s="10"/>
      <c r="C51" s="10"/>
      <c r="D51" s="10"/>
      <c r="E51" s="10"/>
      <c r="F51" s="10"/>
      <c r="G51" s="10"/>
      <c r="H51" s="10"/>
    </row>
    <row r="52" spans="2:8" ht="20.100000000000001" customHeight="1" thickBot="1" x14ac:dyDescent="0.35">
      <c r="B52" s="65" t="s">
        <v>18</v>
      </c>
      <c r="C52" s="65"/>
      <c r="D52" s="65"/>
      <c r="E52" s="65"/>
      <c r="F52" s="65"/>
      <c r="G52" s="65"/>
      <c r="H52" s="65"/>
    </row>
    <row r="53" spans="2:8" ht="20.100000000000001" customHeight="1" x14ac:dyDescent="0.3">
      <c r="B53" s="66"/>
      <c r="C53" s="67"/>
      <c r="D53" s="67"/>
      <c r="E53" s="67"/>
      <c r="F53" s="67"/>
      <c r="G53" s="67"/>
      <c r="H53" s="68"/>
    </row>
    <row r="54" spans="2:8" ht="20.100000000000001" customHeight="1" x14ac:dyDescent="0.3">
      <c r="B54" s="59"/>
      <c r="C54" s="60"/>
      <c r="D54" s="60"/>
      <c r="E54" s="60"/>
      <c r="F54" s="60"/>
      <c r="G54" s="60"/>
      <c r="H54" s="61"/>
    </row>
    <row r="55" spans="2:8" ht="20.100000000000001" customHeight="1" x14ac:dyDescent="0.3">
      <c r="B55" s="59"/>
      <c r="C55" s="60"/>
      <c r="D55" s="60"/>
      <c r="E55" s="60"/>
      <c r="F55" s="60"/>
      <c r="G55" s="60"/>
      <c r="H55" s="61"/>
    </row>
    <row r="56" spans="2:8" ht="20.100000000000001" customHeight="1" x14ac:dyDescent="0.3">
      <c r="B56" s="59"/>
      <c r="C56" s="60"/>
      <c r="D56" s="60"/>
      <c r="E56" s="60"/>
      <c r="F56" s="60"/>
      <c r="G56" s="60"/>
      <c r="H56" s="61"/>
    </row>
    <row r="57" spans="2:8" ht="20.100000000000001" customHeight="1" x14ac:dyDescent="0.3">
      <c r="B57" s="59"/>
      <c r="C57" s="60"/>
      <c r="D57" s="60"/>
      <c r="E57" s="60"/>
      <c r="F57" s="60"/>
      <c r="G57" s="60"/>
      <c r="H57" s="61"/>
    </row>
    <row r="58" spans="2:8" ht="20.100000000000001" customHeight="1" x14ac:dyDescent="0.3">
      <c r="B58" s="59"/>
      <c r="C58" s="60"/>
      <c r="D58" s="60"/>
      <c r="E58" s="60"/>
      <c r="F58" s="60"/>
      <c r="G58" s="60"/>
      <c r="H58" s="61"/>
    </row>
    <row r="59" spans="2:8" ht="20.100000000000001" customHeight="1" x14ac:dyDescent="0.3">
      <c r="B59" s="59"/>
      <c r="C59" s="60"/>
      <c r="D59" s="60"/>
      <c r="E59" s="60"/>
      <c r="F59" s="60"/>
      <c r="G59" s="60"/>
      <c r="H59" s="61"/>
    </row>
    <row r="60" spans="2:8" ht="20.100000000000001" customHeight="1" thickBot="1" x14ac:dyDescent="0.35">
      <c r="B60" s="62"/>
      <c r="C60" s="63"/>
      <c r="D60" s="63"/>
      <c r="E60" s="63"/>
      <c r="F60" s="63"/>
      <c r="G60" s="63"/>
      <c r="H60" s="64"/>
    </row>
  </sheetData>
  <mergeCells count="13">
    <mergeCell ref="B60:H60"/>
    <mergeCell ref="B54:H54"/>
    <mergeCell ref="B55:H55"/>
    <mergeCell ref="B56:H56"/>
    <mergeCell ref="B57:H57"/>
    <mergeCell ref="B58:H58"/>
    <mergeCell ref="B59:H59"/>
    <mergeCell ref="B53:H53"/>
    <mergeCell ref="B6:H6"/>
    <mergeCell ref="E25:E27"/>
    <mergeCell ref="B35:H35"/>
    <mergeCell ref="D36:E36"/>
    <mergeCell ref="B52:H52"/>
  </mergeCells>
  <conditionalFormatting sqref="C8">
    <cfRule type="cellIs" dxfId="5" priority="3" operator="lessThan">
      <formula>1</formula>
    </cfRule>
  </conditionalFormatting>
  <conditionalFormatting sqref="C20">
    <cfRule type="cellIs" dxfId="4" priority="2" operator="lessThan">
      <formula>28000</formula>
    </cfRule>
  </conditionalFormatting>
  <conditionalFormatting sqref="E38:E48">
    <cfRule type="cellIs" dxfId="3" priority="1" operator="lessThan">
      <formula>1</formula>
    </cfRule>
  </conditionalFormatting>
  <dataValidations count="2">
    <dataValidation type="list" errorStyle="warning" allowBlank="1" showInputMessage="1" showErrorMessage="1" sqref="C3" xr:uid="{D3A0EC9B-2284-4958-89C1-D26FDD0A230F}">
      <formula1>$J$16:$J$24</formula1>
    </dataValidation>
    <dataValidation type="list" allowBlank="1" showInputMessage="1" showErrorMessage="1" sqref="C4" xr:uid="{215F9906-3204-43D9-812E-BAC9EA73B327}">
      <formula1>$K$16:$K$21</formula1>
    </dataValidation>
  </dataValidations>
  <pageMargins left="0.75000000000000011" right="0" top="1" bottom="1" header="0.5" footer="0.5"/>
  <pageSetup paperSize="9" scale="62" orientation="portrait" horizontalDpi="4294967292" verticalDpi="4294967292" r:id="rId1"/>
  <headerFooter>
    <oddHeader>&amp;L&amp;"Calibri,Regular"&amp;K000000Mayor Pub&amp;R&amp;"Calibri,Regular"&amp;K000000&amp;F</oddHeader>
    <oddFooter>&amp;L&amp;"Helvetica Neue,Regular"&amp;6&amp;K7F7F7FCopyright © 2015 by &amp;"Helvetica Neue,Bold"i manage&amp;"Helvetica,Regular"&amp;12&amp;K000000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62C9-01D3-45F3-981C-3EFCE7E818C7}">
  <sheetPr codeName="Sheet3"/>
  <dimension ref="B1:K60"/>
  <sheetViews>
    <sheetView showGridLines="0" zoomScale="80" zoomScaleNormal="80" zoomScalePageLayoutView="85" workbookViewId="0">
      <selection activeCell="G4" sqref="G4"/>
    </sheetView>
  </sheetViews>
  <sheetFormatPr defaultColWidth="10.8984375" defaultRowHeight="15.6" x14ac:dyDescent="0.3"/>
  <cols>
    <col min="1" max="1" width="4.5" style="12" customWidth="1"/>
    <col min="2" max="2" width="24" style="12" bestFit="1" customWidth="1"/>
    <col min="3" max="3" width="16.8984375" style="12" customWidth="1"/>
    <col min="4" max="4" width="15.59765625" style="12" customWidth="1"/>
    <col min="5" max="5" width="15.59765625" style="12" bestFit="1" customWidth="1"/>
    <col min="6" max="6" width="13.59765625" style="12" customWidth="1"/>
    <col min="7" max="7" width="17.09765625" style="12" customWidth="1"/>
    <col min="8" max="8" width="15.59765625" style="12" bestFit="1" customWidth="1"/>
    <col min="9" max="9" width="10.8984375" style="12" customWidth="1"/>
    <col min="10" max="11" width="10.8984375" style="12" hidden="1" customWidth="1"/>
    <col min="12" max="13" width="10.8984375" style="12" customWidth="1"/>
    <col min="14" max="16384" width="10.8984375" style="12"/>
  </cols>
  <sheetData>
    <row r="1" spans="2:11" ht="20.100000000000001" customHeight="1" thickBot="1" x14ac:dyDescent="0.35">
      <c r="B1" s="57"/>
      <c r="C1" s="57"/>
      <c r="D1" s="57"/>
      <c r="E1" s="57"/>
      <c r="F1" s="57"/>
      <c r="G1" s="57"/>
      <c r="H1" s="57"/>
    </row>
    <row r="2" spans="2:11" ht="20.100000000000001" customHeight="1" thickTop="1" thickBot="1" x14ac:dyDescent="0.35">
      <c r="B2" s="10"/>
      <c r="C2" s="10"/>
      <c r="D2" s="10"/>
      <c r="E2" s="10"/>
      <c r="F2" s="10"/>
      <c r="G2" s="8" t="s">
        <v>38</v>
      </c>
      <c r="H2" s="58">
        <f>C18-C25</f>
        <v>30800000</v>
      </c>
    </row>
    <row r="3" spans="2:11" ht="20.100000000000001" customHeight="1" x14ac:dyDescent="0.3">
      <c r="B3" s="33" t="s">
        <v>35</v>
      </c>
      <c r="C3" s="34" t="s">
        <v>32</v>
      </c>
      <c r="D3" s="34">
        <v>2021</v>
      </c>
      <c r="E3" s="35"/>
      <c r="F3" s="35" t="s">
        <v>20</v>
      </c>
      <c r="G3" s="36">
        <f>'2'!G3+'2'!H2</f>
        <v>55300000</v>
      </c>
      <c r="H3" s="37"/>
    </row>
    <row r="4" spans="2:11" ht="20.100000000000001" customHeight="1" x14ac:dyDescent="0.3">
      <c r="B4" s="38" t="s">
        <v>12</v>
      </c>
      <c r="C4" s="6" t="s">
        <v>24</v>
      </c>
      <c r="D4" s="7" t="s">
        <v>36</v>
      </c>
      <c r="E4" s="39"/>
      <c r="F4" s="39" t="s">
        <v>42</v>
      </c>
      <c r="G4" s="40">
        <f>C25</f>
        <v>0</v>
      </c>
      <c r="H4" s="41"/>
    </row>
    <row r="5" spans="2:11" ht="20.100000000000001" customHeight="1" thickBot="1" x14ac:dyDescent="0.35">
      <c r="B5" s="42"/>
      <c r="C5" s="43"/>
      <c r="D5" s="43"/>
      <c r="E5" s="43"/>
      <c r="F5" s="43" t="s">
        <v>43</v>
      </c>
      <c r="G5" s="44">
        <f>G3-G4</f>
        <v>55300000</v>
      </c>
      <c r="H5" s="45"/>
    </row>
    <row r="6" spans="2:11" ht="20.100000000000001" customHeight="1" x14ac:dyDescent="0.3">
      <c r="B6" s="70"/>
      <c r="C6" s="70"/>
      <c r="D6" s="70"/>
      <c r="E6" s="70"/>
      <c r="F6" s="70"/>
      <c r="G6" s="70"/>
      <c r="H6" s="70"/>
    </row>
    <row r="7" spans="2:11" ht="20.100000000000001" customHeight="1" thickBot="1" x14ac:dyDescent="0.35">
      <c r="B7" s="13" t="s">
        <v>4</v>
      </c>
      <c r="C7" s="13" t="s">
        <v>3</v>
      </c>
      <c r="D7" s="10"/>
      <c r="E7" s="10"/>
      <c r="F7" s="10"/>
      <c r="G7" s="10"/>
      <c r="H7" s="10"/>
    </row>
    <row r="8" spans="2:11" ht="20.100000000000001" customHeight="1" thickTop="1" thickBot="1" x14ac:dyDescent="0.35">
      <c r="B8" s="3">
        <v>12000000</v>
      </c>
      <c r="C8" s="26">
        <f>IFERROR($D$18/B8,0)</f>
        <v>0</v>
      </c>
      <c r="D8" s="13"/>
      <c r="E8" s="10"/>
      <c r="F8" s="10"/>
      <c r="G8" s="10"/>
      <c r="H8" s="10"/>
    </row>
    <row r="9" spans="2:11" ht="20.100000000000001" customHeight="1" thickTop="1" thickBot="1" x14ac:dyDescent="0.35">
      <c r="B9" s="13"/>
      <c r="C9" s="13"/>
      <c r="D9" s="13"/>
      <c r="E9" s="10"/>
      <c r="F9" s="10"/>
      <c r="G9" s="11"/>
      <c r="H9" s="11"/>
    </row>
    <row r="10" spans="2:11" ht="20.100000000000001" customHeight="1" thickTop="1" thickBot="1" x14ac:dyDescent="0.35">
      <c r="B10" s="8" t="s">
        <v>8</v>
      </c>
      <c r="C10" s="31">
        <v>150</v>
      </c>
      <c r="D10" s="13"/>
      <c r="E10" s="10"/>
      <c r="F10" s="10"/>
      <c r="G10" s="11"/>
      <c r="H10" s="11"/>
    </row>
    <row r="11" spans="2:11" ht="20.100000000000001" customHeight="1" thickTop="1" x14ac:dyDescent="0.3">
      <c r="B11" s="13"/>
      <c r="C11" s="13"/>
      <c r="D11" s="13"/>
      <c r="E11" s="10"/>
      <c r="F11" s="10"/>
      <c r="G11" s="11"/>
      <c r="H11" s="11"/>
    </row>
    <row r="12" spans="2:11" ht="20.100000000000001" customHeight="1" x14ac:dyDescent="0.3">
      <c r="B12" s="13" t="s">
        <v>13</v>
      </c>
      <c r="C12" s="14" t="s">
        <v>10</v>
      </c>
      <c r="D12" s="46"/>
      <c r="E12" s="13"/>
      <c r="F12" s="10"/>
      <c r="G12" s="10"/>
      <c r="H12" s="11"/>
    </row>
    <row r="13" spans="2:11" ht="20.100000000000001" customHeight="1" x14ac:dyDescent="0.3">
      <c r="B13" s="5" t="s">
        <v>39</v>
      </c>
      <c r="C13" s="1">
        <v>9000000</v>
      </c>
      <c r="D13" s="46"/>
      <c r="E13" s="12" t="str" cm="1">
        <f t="array" ref="E13:F17">_xlfn._xlws.SORT(SalesTable,2,1,FALSE)</f>
        <v>Bangalows</v>
      </c>
      <c r="F13" s="12">
        <v>800000</v>
      </c>
      <c r="G13" s="10"/>
      <c r="H13" s="11"/>
    </row>
    <row r="14" spans="2:11" ht="20.100000000000001" customHeight="1" x14ac:dyDescent="0.3">
      <c r="B14" s="5" t="s">
        <v>40</v>
      </c>
      <c r="C14" s="1">
        <v>800000</v>
      </c>
      <c r="D14" s="46"/>
      <c r="E14" s="12" t="str">
        <v>Jacuzzi</v>
      </c>
      <c r="F14" s="12">
        <v>1000000</v>
      </c>
      <c r="G14" s="10"/>
      <c r="H14" s="11"/>
    </row>
    <row r="15" spans="2:11" ht="20.100000000000001" customHeight="1" x14ac:dyDescent="0.3">
      <c r="B15" s="5" t="s">
        <v>41</v>
      </c>
      <c r="C15" s="1">
        <v>1000000</v>
      </c>
      <c r="D15" s="46"/>
      <c r="E15" s="12" t="str">
        <v>Food</v>
      </c>
      <c r="F15" s="12">
        <v>8000000</v>
      </c>
      <c r="G15" s="10"/>
      <c r="H15" s="11"/>
    </row>
    <row r="16" spans="2:11" ht="20.100000000000001" customHeight="1" x14ac:dyDescent="0.3">
      <c r="B16" s="5" t="s">
        <v>0</v>
      </c>
      <c r="C16" s="1">
        <v>8000000</v>
      </c>
      <c r="D16" s="46"/>
      <c r="E16" s="12" t="str">
        <v>Entrance</v>
      </c>
      <c r="F16" s="12">
        <v>9000000</v>
      </c>
      <c r="G16" s="10"/>
      <c r="H16" s="11"/>
      <c r="J16" s="12" t="s">
        <v>28</v>
      </c>
      <c r="K16" s="12" t="s">
        <v>22</v>
      </c>
    </row>
    <row r="17" spans="2:11" ht="20.100000000000001" customHeight="1" x14ac:dyDescent="0.3">
      <c r="B17" s="5" t="s">
        <v>1</v>
      </c>
      <c r="C17" s="1">
        <v>12000000</v>
      </c>
      <c r="D17" s="46"/>
      <c r="E17" s="12" t="str">
        <v>Beverage</v>
      </c>
      <c r="F17" s="12">
        <v>12000000</v>
      </c>
      <c r="G17" s="10"/>
      <c r="H17" s="11"/>
      <c r="J17" s="12" t="s">
        <v>29</v>
      </c>
      <c r="K17" s="12" t="s">
        <v>23</v>
      </c>
    </row>
    <row r="18" spans="2:11" ht="20.100000000000001" customHeight="1" thickBot="1" x14ac:dyDescent="0.35">
      <c r="B18" s="8" t="s">
        <v>11</v>
      </c>
      <c r="C18" s="47">
        <f>SUM(C13:C17)</f>
        <v>30800000</v>
      </c>
      <c r="D18" s="46"/>
      <c r="E18" s="11"/>
      <c r="F18" s="10"/>
      <c r="G18" s="10"/>
      <c r="H18" s="11"/>
      <c r="J18" s="12" t="s">
        <v>21</v>
      </c>
      <c r="K18" s="12" t="s">
        <v>24</v>
      </c>
    </row>
    <row r="19" spans="2:11" ht="20.100000000000001" customHeight="1" thickTop="1" x14ac:dyDescent="0.3">
      <c r="B19" s="15"/>
      <c r="C19" s="16"/>
      <c r="D19" s="16"/>
      <c r="E19" s="10"/>
      <c r="F19" s="10"/>
      <c r="G19" s="10"/>
      <c r="H19" s="10"/>
      <c r="J19" s="12" t="s">
        <v>30</v>
      </c>
      <c r="K19" s="12" t="s">
        <v>25</v>
      </c>
    </row>
    <row r="20" spans="2:11" ht="20.100000000000001" customHeight="1" thickBot="1" x14ac:dyDescent="0.35">
      <c r="B20" s="8" t="s">
        <v>9</v>
      </c>
      <c r="C20" s="47">
        <f>IFERROR(C18/C10,"")</f>
        <v>205333.33333333334</v>
      </c>
      <c r="D20" s="16"/>
      <c r="E20" s="10"/>
      <c r="F20" s="10"/>
      <c r="G20" s="10"/>
      <c r="H20" s="10"/>
      <c r="J20" s="12" t="s">
        <v>31</v>
      </c>
      <c r="K20" s="12" t="s">
        <v>26</v>
      </c>
    </row>
    <row r="21" spans="2:11" ht="20.100000000000001" customHeight="1" thickTop="1" x14ac:dyDescent="0.3">
      <c r="B21" s="8"/>
      <c r="C21" s="16"/>
      <c r="D21" s="16"/>
      <c r="E21" s="10"/>
      <c r="F21" s="10"/>
      <c r="G21" s="10"/>
      <c r="H21" s="10"/>
      <c r="J21" s="12" t="s">
        <v>32</v>
      </c>
      <c r="K21" s="12" t="s">
        <v>27</v>
      </c>
    </row>
    <row r="22" spans="2:11" ht="20.100000000000001" customHeight="1" thickBot="1" x14ac:dyDescent="0.35">
      <c r="B22" s="15" t="s">
        <v>14</v>
      </c>
      <c r="C22" s="15" t="s">
        <v>7</v>
      </c>
      <c r="D22" s="10"/>
      <c r="E22" s="10"/>
      <c r="F22" s="10"/>
      <c r="G22" s="10"/>
      <c r="H22" s="10"/>
      <c r="J22" s="12" t="s">
        <v>33</v>
      </c>
    </row>
    <row r="23" spans="2:11" ht="20.100000000000001" customHeight="1" x14ac:dyDescent="0.3">
      <c r="B23" s="17"/>
      <c r="C23" s="30">
        <v>0</v>
      </c>
      <c r="D23" s="15"/>
      <c r="E23" s="15"/>
      <c r="F23" s="15"/>
      <c r="G23" s="10"/>
      <c r="H23" s="10"/>
      <c r="J23" s="12" t="s">
        <v>34</v>
      </c>
    </row>
    <row r="24" spans="2:11" ht="20.100000000000001" customHeight="1" thickBot="1" x14ac:dyDescent="0.35">
      <c r="B24" s="53"/>
      <c r="C24" s="55">
        <v>0</v>
      </c>
      <c r="D24" s="10"/>
      <c r="E24" s="18"/>
      <c r="F24" s="18"/>
      <c r="G24" s="10"/>
      <c r="H24" s="10"/>
      <c r="J24" s="12" t="s">
        <v>37</v>
      </c>
    </row>
    <row r="25" spans="2:11" ht="20.100000000000001" customHeight="1" thickBot="1" x14ac:dyDescent="0.35">
      <c r="B25" s="19"/>
      <c r="C25" s="54">
        <f>SUM(C23:C24)</f>
        <v>0</v>
      </c>
      <c r="D25" s="10"/>
      <c r="E25" s="71"/>
      <c r="F25" s="29"/>
      <c r="G25" s="10"/>
      <c r="H25" s="10"/>
    </row>
    <row r="26" spans="2:11" ht="20.100000000000001" customHeight="1" thickTop="1" x14ac:dyDescent="0.3">
      <c r="B26" s="19"/>
      <c r="C26" s="56"/>
      <c r="D26" s="10"/>
      <c r="E26" s="71"/>
      <c r="F26" s="29"/>
      <c r="G26" s="10"/>
      <c r="H26" s="10"/>
    </row>
    <row r="27" spans="2:11" ht="20.100000000000001" customHeight="1" thickBot="1" x14ac:dyDescent="0.35">
      <c r="B27" s="20"/>
      <c r="C27" s="20"/>
      <c r="D27" s="10"/>
      <c r="E27" s="71"/>
      <c r="F27" s="29"/>
      <c r="G27" s="10"/>
      <c r="H27" s="10"/>
    </row>
    <row r="28" spans="2:11" ht="20.100000000000001" customHeight="1" thickBot="1" x14ac:dyDescent="0.35">
      <c r="B28" s="10"/>
      <c r="C28" s="32" t="s">
        <v>44</v>
      </c>
      <c r="D28" s="10"/>
      <c r="E28" s="10"/>
      <c r="F28" s="10"/>
      <c r="G28" s="10"/>
      <c r="H28" s="10"/>
    </row>
    <row r="29" spans="2:11" ht="20.100000000000001" customHeight="1" x14ac:dyDescent="0.3">
      <c r="B29" s="21" t="s">
        <v>5</v>
      </c>
      <c r="C29" s="48">
        <v>50</v>
      </c>
      <c r="D29" s="10"/>
      <c r="E29" s="10"/>
      <c r="F29" s="51"/>
      <c r="G29" s="51"/>
      <c r="H29" s="10"/>
    </row>
    <row r="30" spans="2:11" ht="20.100000000000001" customHeight="1" x14ac:dyDescent="0.3">
      <c r="B30" s="22" t="s">
        <v>6</v>
      </c>
      <c r="C30" s="49">
        <v>100</v>
      </c>
      <c r="D30" s="15"/>
      <c r="E30" s="15"/>
      <c r="F30" s="51"/>
      <c r="G30" s="51"/>
      <c r="H30" s="10"/>
    </row>
    <row r="31" spans="2:11" ht="20.100000000000001" customHeight="1" x14ac:dyDescent="0.3">
      <c r="B31" s="52"/>
      <c r="C31" s="50"/>
      <c r="D31" s="15"/>
      <c r="E31" s="15"/>
      <c r="F31" s="51"/>
      <c r="G31" s="51"/>
      <c r="H31" s="10"/>
    </row>
    <row r="32" spans="2:11" ht="20.100000000000001" customHeight="1" x14ac:dyDescent="0.3">
      <c r="B32" s="52"/>
      <c r="C32" s="50"/>
      <c r="D32" s="15"/>
      <c r="E32" s="15"/>
      <c r="F32" s="51"/>
      <c r="G32" s="51"/>
      <c r="H32" s="10"/>
    </row>
    <row r="33" spans="2:8" ht="20.100000000000001" customHeight="1" x14ac:dyDescent="0.3">
      <c r="B33" s="10"/>
      <c r="C33" s="10"/>
      <c r="D33" s="9"/>
      <c r="E33" s="10"/>
      <c r="F33" s="10"/>
      <c r="G33" s="10"/>
      <c r="H33" s="10"/>
    </row>
    <row r="34" spans="2:8" ht="20.100000000000001" customHeight="1" x14ac:dyDescent="0.3">
      <c r="B34" s="10"/>
      <c r="C34" s="10"/>
      <c r="D34" s="10"/>
      <c r="E34" s="10"/>
      <c r="F34" s="10"/>
      <c r="G34" s="10"/>
      <c r="H34" s="10"/>
    </row>
    <row r="35" spans="2:8" ht="20.100000000000001" customHeight="1" x14ac:dyDescent="0.3">
      <c r="B35" s="70" t="s">
        <v>19</v>
      </c>
      <c r="C35" s="70"/>
      <c r="D35" s="70"/>
      <c r="E35" s="70"/>
      <c r="F35" s="70"/>
      <c r="G35" s="70"/>
      <c r="H35" s="70"/>
    </row>
    <row r="36" spans="2:8" ht="20.100000000000001" customHeight="1" x14ac:dyDescent="0.3">
      <c r="B36" s="10"/>
      <c r="C36" s="9"/>
      <c r="D36" s="69"/>
      <c r="E36" s="69"/>
      <c r="F36" s="9"/>
      <c r="G36" s="9"/>
      <c r="H36" s="10"/>
    </row>
    <row r="37" spans="2:8" ht="20.100000000000001" customHeight="1" x14ac:dyDescent="0.3">
      <c r="B37" s="23" t="s">
        <v>2</v>
      </c>
      <c r="C37" s="24" t="s">
        <v>15</v>
      </c>
      <c r="D37" s="24" t="s">
        <v>16</v>
      </c>
      <c r="E37" s="25" t="s">
        <v>17</v>
      </c>
      <c r="F37" s="10"/>
      <c r="G37" s="10"/>
      <c r="H37" s="10"/>
    </row>
    <row r="38" spans="2:8" ht="20.100000000000001" customHeight="1" x14ac:dyDescent="0.3">
      <c r="B38" s="4"/>
      <c r="C38" s="2">
        <v>0</v>
      </c>
      <c r="D38" s="27">
        <f t="shared" ref="D38:D48" si="0">IFERROR(B$8/COUNTA(B$38:B$48),)</f>
        <v>0</v>
      </c>
      <c r="E38" s="28">
        <f>IFERROR(C38/D38,)</f>
        <v>0</v>
      </c>
      <c r="F38" s="10"/>
      <c r="G38" s="10"/>
      <c r="H38" s="10"/>
    </row>
    <row r="39" spans="2:8" ht="20.100000000000001" customHeight="1" x14ac:dyDescent="0.3">
      <c r="B39" s="4"/>
      <c r="C39" s="2">
        <v>0</v>
      </c>
      <c r="D39" s="27">
        <f t="shared" si="0"/>
        <v>0</v>
      </c>
      <c r="E39" s="28">
        <f t="shared" ref="E39:E48" si="1">IFERROR(C39/D39,)</f>
        <v>0</v>
      </c>
      <c r="F39" s="10"/>
      <c r="G39" s="10"/>
      <c r="H39" s="10"/>
    </row>
    <row r="40" spans="2:8" ht="20.100000000000001" customHeight="1" x14ac:dyDescent="0.3">
      <c r="B40" s="4"/>
      <c r="C40" s="2">
        <v>0</v>
      </c>
      <c r="D40" s="27">
        <f t="shared" si="0"/>
        <v>0</v>
      </c>
      <c r="E40" s="28">
        <f t="shared" si="1"/>
        <v>0</v>
      </c>
      <c r="F40" s="10"/>
      <c r="G40" s="10"/>
      <c r="H40" s="10"/>
    </row>
    <row r="41" spans="2:8" ht="20.100000000000001" customHeight="1" x14ac:dyDescent="0.3">
      <c r="B41" s="4"/>
      <c r="C41" s="2">
        <v>0</v>
      </c>
      <c r="D41" s="27">
        <f t="shared" si="0"/>
        <v>0</v>
      </c>
      <c r="E41" s="28">
        <f t="shared" si="1"/>
        <v>0</v>
      </c>
      <c r="F41" s="10"/>
      <c r="G41" s="10"/>
      <c r="H41" s="10"/>
    </row>
    <row r="42" spans="2:8" ht="20.100000000000001" customHeight="1" x14ac:dyDescent="0.3">
      <c r="B42" s="4"/>
      <c r="C42" s="2">
        <v>0</v>
      </c>
      <c r="D42" s="27">
        <f t="shared" si="0"/>
        <v>0</v>
      </c>
      <c r="E42" s="28">
        <f t="shared" si="1"/>
        <v>0</v>
      </c>
      <c r="F42" s="10"/>
      <c r="G42" s="10"/>
      <c r="H42" s="10"/>
    </row>
    <row r="43" spans="2:8" ht="20.100000000000001" customHeight="1" x14ac:dyDescent="0.3">
      <c r="B43" s="5"/>
      <c r="C43" s="2">
        <v>0</v>
      </c>
      <c r="D43" s="27">
        <f t="shared" si="0"/>
        <v>0</v>
      </c>
      <c r="E43" s="28">
        <f t="shared" si="1"/>
        <v>0</v>
      </c>
      <c r="F43" s="10"/>
      <c r="G43" s="10"/>
      <c r="H43" s="10"/>
    </row>
    <row r="44" spans="2:8" ht="20.100000000000001" customHeight="1" x14ac:dyDescent="0.3">
      <c r="B44" s="5"/>
      <c r="C44" s="2">
        <v>0</v>
      </c>
      <c r="D44" s="27">
        <f t="shared" si="0"/>
        <v>0</v>
      </c>
      <c r="E44" s="28">
        <f t="shared" si="1"/>
        <v>0</v>
      </c>
      <c r="F44" s="10"/>
      <c r="G44" s="10"/>
      <c r="H44" s="10"/>
    </row>
    <row r="45" spans="2:8" ht="20.100000000000001" customHeight="1" x14ac:dyDescent="0.3">
      <c r="B45" s="5"/>
      <c r="C45" s="2">
        <v>0</v>
      </c>
      <c r="D45" s="27">
        <f t="shared" si="0"/>
        <v>0</v>
      </c>
      <c r="E45" s="28">
        <f t="shared" si="1"/>
        <v>0</v>
      </c>
      <c r="F45" s="10"/>
      <c r="G45" s="10"/>
      <c r="H45" s="10"/>
    </row>
    <row r="46" spans="2:8" ht="20.100000000000001" customHeight="1" x14ac:dyDescent="0.3">
      <c r="B46" s="5"/>
      <c r="C46" s="2">
        <v>0</v>
      </c>
      <c r="D46" s="27">
        <f t="shared" si="0"/>
        <v>0</v>
      </c>
      <c r="E46" s="28">
        <f t="shared" si="1"/>
        <v>0</v>
      </c>
      <c r="F46" s="10"/>
      <c r="G46" s="10"/>
      <c r="H46" s="10"/>
    </row>
    <row r="47" spans="2:8" ht="20.100000000000001" customHeight="1" x14ac:dyDescent="0.3">
      <c r="B47" s="5"/>
      <c r="C47" s="2">
        <v>0</v>
      </c>
      <c r="D47" s="27">
        <f t="shared" si="0"/>
        <v>0</v>
      </c>
      <c r="E47" s="28">
        <f t="shared" si="1"/>
        <v>0</v>
      </c>
      <c r="F47" s="10"/>
      <c r="G47" s="10"/>
      <c r="H47" s="10"/>
    </row>
    <row r="48" spans="2:8" ht="20.100000000000001" customHeight="1" x14ac:dyDescent="0.3">
      <c r="B48" s="5"/>
      <c r="C48" s="27">
        <v>0</v>
      </c>
      <c r="D48" s="27">
        <f t="shared" si="0"/>
        <v>0</v>
      </c>
      <c r="E48" s="28">
        <f t="shared" si="1"/>
        <v>0</v>
      </c>
      <c r="F48" s="10"/>
      <c r="G48" s="10"/>
      <c r="H48" s="10"/>
    </row>
    <row r="49" spans="2:8" ht="20.100000000000001" customHeight="1" x14ac:dyDescent="0.3">
      <c r="B49" s="10"/>
      <c r="C49" s="10"/>
      <c r="D49" s="9"/>
      <c r="E49" s="9"/>
      <c r="F49" s="9"/>
      <c r="G49" s="9"/>
      <c r="H49" s="9"/>
    </row>
    <row r="50" spans="2:8" ht="20.100000000000001" customHeight="1" x14ac:dyDescent="0.3">
      <c r="B50" s="10"/>
      <c r="C50" s="10"/>
      <c r="D50" s="10"/>
      <c r="E50" s="10"/>
      <c r="F50" s="10"/>
      <c r="G50" s="10"/>
      <c r="H50" s="10"/>
    </row>
    <row r="51" spans="2:8" ht="20.100000000000001" customHeight="1" x14ac:dyDescent="0.3">
      <c r="B51" s="10"/>
      <c r="C51" s="10"/>
      <c r="D51" s="10"/>
      <c r="E51" s="10"/>
      <c r="F51" s="10"/>
      <c r="G51" s="10"/>
      <c r="H51" s="10"/>
    </row>
    <row r="52" spans="2:8" ht="20.100000000000001" customHeight="1" thickBot="1" x14ac:dyDescent="0.35">
      <c r="B52" s="65" t="s">
        <v>18</v>
      </c>
      <c r="C52" s="65"/>
      <c r="D52" s="65"/>
      <c r="E52" s="65"/>
      <c r="F52" s="65"/>
      <c r="G52" s="65"/>
      <c r="H52" s="65"/>
    </row>
    <row r="53" spans="2:8" ht="20.100000000000001" customHeight="1" x14ac:dyDescent="0.3">
      <c r="B53" s="66"/>
      <c r="C53" s="67"/>
      <c r="D53" s="67"/>
      <c r="E53" s="67"/>
      <c r="F53" s="67"/>
      <c r="G53" s="67"/>
      <c r="H53" s="68"/>
    </row>
    <row r="54" spans="2:8" ht="20.100000000000001" customHeight="1" x14ac:dyDescent="0.3">
      <c r="B54" s="59"/>
      <c r="C54" s="60"/>
      <c r="D54" s="60"/>
      <c r="E54" s="60"/>
      <c r="F54" s="60"/>
      <c r="G54" s="60"/>
      <c r="H54" s="61"/>
    </row>
    <row r="55" spans="2:8" ht="20.100000000000001" customHeight="1" x14ac:dyDescent="0.3">
      <c r="B55" s="59"/>
      <c r="C55" s="60"/>
      <c r="D55" s="60"/>
      <c r="E55" s="60"/>
      <c r="F55" s="60"/>
      <c r="G55" s="60"/>
      <c r="H55" s="61"/>
    </row>
    <row r="56" spans="2:8" ht="20.100000000000001" customHeight="1" x14ac:dyDescent="0.3">
      <c r="B56" s="59"/>
      <c r="C56" s="60"/>
      <c r="D56" s="60"/>
      <c r="E56" s="60"/>
      <c r="F56" s="60"/>
      <c r="G56" s="60"/>
      <c r="H56" s="61"/>
    </row>
    <row r="57" spans="2:8" ht="20.100000000000001" customHeight="1" x14ac:dyDescent="0.3">
      <c r="B57" s="59"/>
      <c r="C57" s="60"/>
      <c r="D57" s="60"/>
      <c r="E57" s="60"/>
      <c r="F57" s="60"/>
      <c r="G57" s="60"/>
      <c r="H57" s="61"/>
    </row>
    <row r="58" spans="2:8" ht="20.100000000000001" customHeight="1" x14ac:dyDescent="0.3">
      <c r="B58" s="59"/>
      <c r="C58" s="60"/>
      <c r="D58" s="60"/>
      <c r="E58" s="60"/>
      <c r="F58" s="60"/>
      <c r="G58" s="60"/>
      <c r="H58" s="61"/>
    </row>
    <row r="59" spans="2:8" ht="20.100000000000001" customHeight="1" x14ac:dyDescent="0.3">
      <c r="B59" s="59"/>
      <c r="C59" s="60"/>
      <c r="D59" s="60"/>
      <c r="E59" s="60"/>
      <c r="F59" s="60"/>
      <c r="G59" s="60"/>
      <c r="H59" s="61"/>
    </row>
    <row r="60" spans="2:8" ht="20.100000000000001" customHeight="1" thickBot="1" x14ac:dyDescent="0.35">
      <c r="B60" s="62"/>
      <c r="C60" s="63"/>
      <c r="D60" s="63"/>
      <c r="E60" s="63"/>
      <c r="F60" s="63"/>
      <c r="G60" s="63"/>
      <c r="H60" s="64"/>
    </row>
  </sheetData>
  <mergeCells count="13">
    <mergeCell ref="B60:H60"/>
    <mergeCell ref="B54:H54"/>
    <mergeCell ref="B55:H55"/>
    <mergeCell ref="B56:H56"/>
    <mergeCell ref="B57:H57"/>
    <mergeCell ref="B58:H58"/>
    <mergeCell ref="B59:H59"/>
    <mergeCell ref="B53:H53"/>
    <mergeCell ref="B6:H6"/>
    <mergeCell ref="E25:E27"/>
    <mergeCell ref="B35:H35"/>
    <mergeCell ref="D36:E36"/>
    <mergeCell ref="B52:H52"/>
  </mergeCells>
  <conditionalFormatting sqref="C8">
    <cfRule type="cellIs" dxfId="2" priority="3" operator="lessThan">
      <formula>1</formula>
    </cfRule>
  </conditionalFormatting>
  <conditionalFormatting sqref="C20">
    <cfRule type="cellIs" dxfId="1" priority="2" operator="lessThan">
      <formula>28000</formula>
    </cfRule>
  </conditionalFormatting>
  <conditionalFormatting sqref="E38:E48">
    <cfRule type="cellIs" dxfId="0" priority="1" operator="lessThan">
      <formula>1</formula>
    </cfRule>
  </conditionalFormatting>
  <dataValidations count="2">
    <dataValidation type="list" allowBlank="1" showInputMessage="1" showErrorMessage="1" sqref="C4" xr:uid="{EE8D6BD7-AD6F-4C7A-ADD1-9151AAFCB5FC}">
      <formula1>$K$16:$K$21</formula1>
    </dataValidation>
    <dataValidation type="list" errorStyle="warning" allowBlank="1" showInputMessage="1" showErrorMessage="1" sqref="C3" xr:uid="{6AF014C2-EE42-43C2-B54A-9BC267F85119}">
      <formula1>$J$16:$J$24</formula1>
    </dataValidation>
  </dataValidations>
  <pageMargins left="0.75000000000000011" right="0" top="1" bottom="1" header="0.5" footer="0.5"/>
  <pageSetup paperSize="9" scale="62" orientation="portrait" horizontalDpi="4294967292" verticalDpi="4294967292" r:id="rId1"/>
  <headerFooter>
    <oddHeader>&amp;L&amp;"Calibri,Regular"&amp;K000000Mayor Pub&amp;R&amp;"Calibri,Regular"&amp;K000000&amp;F</oddHeader>
    <oddFooter>&amp;L&amp;"Helvetica Neue,Regular"&amp;6&amp;K7F7F7FCopyright © 2015 by &amp;"Helvetica Neue,Bold"i manage&amp;"Helvetica,Regular"&amp;12&amp;K000000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1</vt:lpstr>
      <vt:lpstr>2</vt:lpstr>
      <vt:lpstr>3</vt:lpstr>
      <vt:lpstr>'2'!Days</vt:lpstr>
      <vt:lpstr>'3'!Days</vt:lpstr>
      <vt:lpstr>Days</vt:lpstr>
      <vt:lpstr>'2'!Months</vt:lpstr>
      <vt:lpstr>'3'!Months</vt:lpstr>
      <vt:lpstr>Months</vt:lpstr>
      <vt:lpstr>'1'!Print_Area</vt:lpstr>
      <vt:lpstr>'2'!Print_Area</vt:lpstr>
      <vt:lpstr>'3'!Print_Area</vt:lpstr>
      <vt:lpstr>'2'!SalesTable</vt:lpstr>
      <vt:lpstr>'3'!SalesTable</vt:lpstr>
      <vt:lpstr>SalesTable</vt:lpstr>
    </vt:vector>
  </TitlesOfParts>
  <Company>i manage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Massaad</dc:creator>
  <cp:lastModifiedBy>Elie khoury</cp:lastModifiedBy>
  <cp:lastPrinted>2015-11-16T09:04:23Z</cp:lastPrinted>
  <dcterms:created xsi:type="dcterms:W3CDTF">2013-12-24T09:18:51Z</dcterms:created>
  <dcterms:modified xsi:type="dcterms:W3CDTF">2026-02-13T06:32:31Z</dcterms:modified>
</cp:coreProperties>
</file>